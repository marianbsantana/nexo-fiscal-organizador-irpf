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_bbe\Downloads\"/>
    </mc:Choice>
  </mc:AlternateContent>
  <xr:revisionPtr revIDLastSave="0" documentId="13_ncr:1_{CFF2F220-1595-4682-B3D4-9BC6F939BD2E}" xr6:coauthVersionLast="47" xr6:coauthVersionMax="47" xr10:uidLastSave="{00000000-0000-0000-0000-000000000000}"/>
  <bookViews>
    <workbookView xWindow="-120" yWindow="-120" windowWidth="20730" windowHeight="11040" tabRatio="315" firstSheet="3" activeTab="4" xr2:uid="{6D96CDEA-E815-47C3-B4C9-39E3474CA9A4}"/>
  </bookViews>
  <sheets>
    <sheet name="CONTRIBUINTE" sheetId="1" r:id="rId1"/>
    <sheet name="INFORMES" sheetId="4" r:id="rId2"/>
    <sheet name="RENDIMENTOS" sheetId="5" r:id="rId3"/>
    <sheet name="RESUMO" sheetId="7" r:id="rId4"/>
    <sheet name="APOIO" sheetId="6" r:id="rId5"/>
  </sheets>
  <definedNames>
    <definedName name="AnexoBanco1">INFORMES!$D$14</definedName>
    <definedName name="AnexoBanco2">INFORMES!$D$18</definedName>
    <definedName name="AnexoBanco3">INFORMES!$D$22</definedName>
    <definedName name="AnoCalendario">CONTRIBUINTE!$D$2</definedName>
    <definedName name="Banco1">INFORMES!$D$12</definedName>
    <definedName name="Banco2">INFORMES!$D$16</definedName>
    <definedName name="Banco3">INFORMES!$D$20</definedName>
    <definedName name="cadBairro">CONTRIBUINTE!$D$15</definedName>
    <definedName name="cadCEP">CONTRIBUINTE!$D$18</definedName>
    <definedName name="cadCidade">CONTRIBUINTE!$D$16</definedName>
    <definedName name="cadCPF">CONTRIBUINTE!$D$9</definedName>
    <definedName name="cadEmail">CONTRIBUINTE!$D$21</definedName>
    <definedName name="cadNascimento">CONTRIBUINTE!$D$10</definedName>
    <definedName name="cadNome">CONTRIBUINTE!$D$8</definedName>
    <definedName name="cadNumero">CONTRIBUINTE!$D$13</definedName>
    <definedName name="cadUF">CONTRIBUINTE!$D$17</definedName>
    <definedName name="ExercicioIR">CONTRIBUINTE!$D$3</definedName>
    <definedName name="LISTAANOS">APOIO!$B$3:$B$22</definedName>
    <definedName name="LISTAESTADOS">APOIO!$D$2:$D$29</definedName>
    <definedName name="NativeTimeline_DATA">#N/A</definedName>
    <definedName name="TotalSaldos">INFORMES!$C$9</definedName>
    <definedName name="VALOR">tbRendimentos[[#Headers],[VALOR ]]</definedName>
  </definedNames>
  <calcPr calcId="191029"/>
  <pivotCaches>
    <pivotCache cacheId="29" r:id="rId6"/>
    <pivotCache cacheId="34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6" l="1"/>
  <c r="I6" i="6"/>
  <c r="I7" i="6"/>
  <c r="I3" i="6"/>
  <c r="C4" i="7"/>
  <c r="C21" i="4"/>
  <c r="C17" i="4"/>
  <c r="C13" i="4"/>
  <c r="E3" i="7"/>
  <c r="E3" i="5"/>
  <c r="D3" i="4"/>
  <c r="C8" i="4"/>
  <c r="C4" i="4"/>
  <c r="E25" i="5"/>
  <c r="I4" i="6" s="1"/>
  <c r="C4" i="5"/>
  <c r="C9" i="4"/>
  <c r="D3" i="1"/>
  <c r="C4" i="1"/>
  <c r="H25" i="6" l="1"/>
  <c r="I9" i="6"/>
  <c r="I8" i="6" s="1"/>
  <c r="I10" i="6"/>
  <c r="E16" i="7" s="1"/>
  <c r="I12" i="6" l="1"/>
  <c r="C17" i="7" s="1"/>
  <c r="I11" i="6"/>
</calcChain>
</file>

<file path=xl/sharedStrings.xml><?xml version="1.0" encoding="utf-8"?>
<sst xmlns="http://schemas.openxmlformats.org/spreadsheetml/2006/main" count="179" uniqueCount="145">
  <si>
    <t>Desenvolvido por Marian Sant’Ana</t>
  </si>
  <si>
    <t>NOME</t>
  </si>
  <si>
    <t>CPF</t>
  </si>
  <si>
    <t>CEP</t>
  </si>
  <si>
    <t>TELEFONE</t>
  </si>
  <si>
    <t>CELULAR</t>
  </si>
  <si>
    <t>E-MAIL</t>
  </si>
  <si>
    <t xml:space="preserve">Preencha os dados do contribuinte nos campos abaixo. </t>
  </si>
  <si>
    <t>NOME DO CÔNJUGE</t>
  </si>
  <si>
    <t>HOUVE ALTERAÇÃO CADASTRAL DESDE A ÚLTIMA DECLARAÇÃO?</t>
  </si>
  <si>
    <t>O CÔNJUGE É DEPENDENTE?</t>
  </si>
  <si>
    <t>RESIDENTE NO EXTERIOR?</t>
  </si>
  <si>
    <t>COMPLEMENTO</t>
  </si>
  <si>
    <t>BAIRRO</t>
  </si>
  <si>
    <t>UF</t>
  </si>
  <si>
    <t>SIM</t>
  </si>
  <si>
    <t>NÃO</t>
  </si>
  <si>
    <t>NÚMERO</t>
  </si>
  <si>
    <t>LOGRADOURO</t>
  </si>
  <si>
    <t>CIDADE</t>
  </si>
  <si>
    <t>Exercício:</t>
  </si>
  <si>
    <t xml:space="preserve">Ano-Calendário: </t>
  </si>
  <si>
    <t>LISTA ANOS</t>
  </si>
  <si>
    <t>DATA DE NASCIMENTO</t>
  </si>
  <si>
    <t>LISTA ESTADOS</t>
  </si>
  <si>
    <t>AC - Acre</t>
  </si>
  <si>
    <t>AL - Alagoas</t>
  </si>
  <si>
    <t>AP - Amapá</t>
  </si>
  <si>
    <t>AM - Amazonas</t>
  </si>
  <si>
    <t>BA - Bahia</t>
  </si>
  <si>
    <t>CE - Ceará</t>
  </si>
  <si>
    <t>DF - Distrito Federal</t>
  </si>
  <si>
    <t>ES - Espírito Santo</t>
  </si>
  <si>
    <t>GO - Goiás</t>
  </si>
  <si>
    <t>MA - Maranhão</t>
  </si>
  <si>
    <t>MT - Mato Grosso</t>
  </si>
  <si>
    <t>MS - Mato Grosso do Sul</t>
  </si>
  <si>
    <t>MG - Minas Gerais</t>
  </si>
  <si>
    <t>PA - Pará</t>
  </si>
  <si>
    <t>PB - Paraíba</t>
  </si>
  <si>
    <t>PR - Paraná</t>
  </si>
  <si>
    <t>PE - Pernambuco</t>
  </si>
  <si>
    <t>PI - Piauí</t>
  </si>
  <si>
    <t>RJ - Rio de Janeiro</t>
  </si>
  <si>
    <t>RN - Rio Grande do Norte</t>
  </si>
  <si>
    <t>RS - Rio Grande do Sul</t>
  </si>
  <si>
    <t>RO - Rondônia</t>
  </si>
  <si>
    <t>RR - Roraima</t>
  </si>
  <si>
    <t>SC - Santa Catarina</t>
  </si>
  <si>
    <t>SP - São Paulo</t>
  </si>
  <si>
    <t>SE - Sergipe</t>
  </si>
  <si>
    <t xml:space="preserve">TO - Tocantins </t>
  </si>
  <si>
    <t>Rua São Paulo</t>
  </si>
  <si>
    <t>Centro</t>
  </si>
  <si>
    <t>BANCO</t>
  </si>
  <si>
    <t xml:space="preserve">ANEXO     </t>
  </si>
  <si>
    <t>1º Banco</t>
  </si>
  <si>
    <t>2º Banco</t>
  </si>
  <si>
    <t>3º Banco</t>
  </si>
  <si>
    <t>TOTAL</t>
  </si>
  <si>
    <t>BANCO.PDF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</si>
  <si>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</si>
  <si>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</si>
  <si>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</si>
  <si>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</si>
  <si>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</si>
  <si>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</si>
  <si>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</si>
  <si>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</si>
  <si>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</si>
  <si>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</si>
  <si>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</si>
  <si>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</si>
  <si>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</si>
  <si>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</si>
  <si>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</si>
  <si>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</si>
  <si>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</si>
  <si>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</si>
  <si>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</si>
  <si>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</si>
  <si>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</si>
  <si>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</si>
  <si>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</si>
  <si>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</si>
  <si>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</si>
  <si>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</si>
  <si>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</si>
  <si>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</si>
  <si>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</si>
  <si>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</si>
  <si>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</si>
  <si>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</si>
  <si>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</si>
  <si>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</si>
  <si>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</si>
  <si>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</si>
  <si>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</si>
  <si>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</si>
  <si>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</si>
  <si>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</si>
  <si>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</si>
  <si>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</si>
  <si>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</si>
  <si>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</si>
  <si>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</si>
  <si>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</si>
  <si>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</si>
  <si>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</si>
  <si>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</si>
  <si>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</si>
  <si>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</si>
  <si>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CATEGORIA</t>
  </si>
  <si>
    <t>HOLERITE</t>
  </si>
  <si>
    <t xml:space="preserve">FREELANCE </t>
  </si>
  <si>
    <t xml:space="preserve">Ana Maria Silva </t>
  </si>
  <si>
    <t xml:space="preserve">Paulo Silva </t>
  </si>
  <si>
    <t>São Paulo</t>
  </si>
  <si>
    <t>Registre os rendimentos recebidos mês a mês, conforme holerites, extratos e informes de rendimentos.</t>
  </si>
  <si>
    <t>RENDIMENTOS MENSAIS</t>
  </si>
  <si>
    <t>Apt 2</t>
  </si>
  <si>
    <t>usuario@exemplo.com</t>
  </si>
  <si>
    <t>Cadastre as instituições financeiras e os saldos informados nos respectivos informes de rendimentos.</t>
  </si>
  <si>
    <t>Confira os valores consolidados e as pendências antes de finalizar.</t>
  </si>
  <si>
    <t>INDICADOR</t>
  </si>
  <si>
    <t>RESULTADO</t>
  </si>
  <si>
    <t>Total dos saldos</t>
  </si>
  <si>
    <t>Total de rendimentos</t>
  </si>
  <si>
    <t>Bancos cadastrados</t>
  </si>
  <si>
    <t>Lançamentos realizados</t>
  </si>
  <si>
    <t>Documentos anexados</t>
  </si>
  <si>
    <t>DATA</t>
  </si>
  <si>
    <t xml:space="preserve">VALOR </t>
  </si>
  <si>
    <t>Status geral</t>
  </si>
  <si>
    <t>Rótulos de Linha</t>
  </si>
  <si>
    <t>Total Geral</t>
  </si>
  <si>
    <t>jan</t>
  </si>
  <si>
    <t>mar</t>
  </si>
  <si>
    <t xml:space="preserve">Soma de VALOR </t>
  </si>
  <si>
    <t>2025</t>
  </si>
  <si>
    <t>Documentos pendentes</t>
  </si>
  <si>
    <t>Completude documental</t>
  </si>
  <si>
    <t>Mensagem de qualidade</t>
  </si>
  <si>
    <t>SERVIÇOS PJ</t>
  </si>
  <si>
    <t>Qualidade dos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</si>
</sst>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00\-000"/>
    <numFmt numFmtId="165" formatCode="000&quot;.&quot;000&quot;.&quot;000\-00"/>
    <numFmt numFmtId="166" formatCode="\(00\)&quot; &quot;0000\-0000"/>
    <numFmt numFmtId="167" formatCode="\(00\)&quot; &quot;00000\-0000"/>
    <numFmt numFmtId="168" formatCode="&quot;R$&quot;\ #,##0.00"/>
    <numFmt numFmtId="169" formatCode="mmmm/yyyy"/>
  </numFmts>
  <fonts count="21">
    <font>
      <sz val="11"/>
      <color theme="1"/>
      <name val="Aptos Narrow"/>
      <family val="2"/>
      <scheme val="minor"/>
    </font>
    <font>
      <sz val="11"/>
      <color theme="0"/>
      <name val="Segoe UI Light"/>
      <family val="2"/>
    </font>
    <font>
      <sz val="11"/>
      <color theme="1"/>
      <name val="Segoe UI Light"/>
      <family val="2"/>
    </font>
    <font>
      <i/>
      <sz val="11"/>
      <color theme="1"/>
      <name val="Segoe UI Light"/>
      <family val="2"/>
    </font>
    <font>
      <i/>
      <sz val="11"/>
      <color theme="1"/>
      <name val="Aptos Narrow"/>
      <family val="2"/>
      <scheme val="minor"/>
    </font>
    <font>
      <sz val="16"/>
      <color rgb="FF087F7B"/>
      <name val="Segoe UI Black"/>
      <family val="2"/>
    </font>
    <font>
      <sz val="12"/>
      <color theme="0" tint="-4.9989318521683403E-2"/>
      <name val="Segoe UI Light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87F7B"/>
      <name val="Segoe UI"/>
      <family val="2"/>
    </font>
    <font>
      <b/>
      <sz val="11"/>
      <color theme="1"/>
      <name val="Segoe UI Light"/>
      <family val="2"/>
    </font>
    <font>
      <b/>
      <sz val="11"/>
      <color rgb="FF087F7B"/>
      <name val="Segoe UI Light"/>
      <family val="2"/>
    </font>
    <font>
      <u/>
      <sz val="11"/>
      <color theme="10"/>
      <name val="Aptos Narrow"/>
      <family val="2"/>
      <scheme val="minor"/>
    </font>
    <font>
      <b/>
      <sz val="12"/>
      <color theme="0"/>
      <name val="Segoe UI"/>
      <family val="2"/>
    </font>
    <font>
      <b/>
      <sz val="12"/>
      <color rgb="FF147D73"/>
      <name val="Segoe UI Light"/>
      <family val="2"/>
    </font>
    <font>
      <i/>
      <sz val="8"/>
      <color theme="2" tint="-0.749992370372631"/>
      <name val="Segoe UI Light"/>
      <family val="2"/>
    </font>
    <font>
      <b/>
      <sz val="11"/>
      <color theme="0"/>
      <name val="Segoe UI"/>
      <family val="2"/>
    </font>
    <font>
      <b/>
      <sz val="11"/>
      <color theme="0"/>
      <name val="Segoe UI Light"/>
      <family val="2"/>
    </font>
    <font>
      <b/>
      <sz val="12"/>
      <color theme="1"/>
      <name val="Segoe UI"/>
      <family val="2"/>
    </font>
    <font>
      <b/>
      <sz val="12"/>
      <color rgb="FF147D73"/>
      <name val="Segoe UI "/>
    </font>
    <font>
      <sz val="10"/>
      <color rgb="FF747474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EFF3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D6E8EC"/>
        <bgColor indexed="64"/>
      </patternFill>
    </fill>
    <fill>
      <patternFill patternType="solid">
        <fgColor rgb="FF125370"/>
        <bgColor indexed="64"/>
      </patternFill>
    </fill>
    <fill>
      <patternFill patternType="solid">
        <fgColor rgb="FF087F7B"/>
        <bgColor indexed="64"/>
      </patternFill>
    </fill>
    <fill>
      <patternFill patternType="solid">
        <fgColor rgb="FF102A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ck">
        <color rgb="FF087F7B"/>
      </top>
      <bottom/>
      <diagonal/>
    </border>
    <border>
      <left/>
      <right/>
      <top style="thin">
        <color theme="2" tint="-0.24994659260841701"/>
      </top>
      <bottom/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top"/>
    </xf>
    <xf numFmtId="0" fontId="0" fillId="3" borderId="0" xfId="0" applyFill="1"/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11" fillId="4" borderId="2" xfId="0" applyFont="1" applyFill="1" applyBorder="1" applyAlignment="1">
      <alignment horizontal="right"/>
    </xf>
    <xf numFmtId="0" fontId="11" fillId="4" borderId="1" xfId="0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9" fillId="0" borderId="0" xfId="0" applyFont="1"/>
    <xf numFmtId="0" fontId="15" fillId="0" borderId="0" xfId="0" applyFont="1"/>
    <xf numFmtId="0" fontId="2" fillId="5" borderId="1" xfId="0" applyFont="1" applyFill="1" applyBorder="1" applyAlignment="1" applyProtection="1">
      <alignment horizontal="left" vertical="center"/>
      <protection locked="0"/>
    </xf>
    <xf numFmtId="165" fontId="2" fillId="5" borderId="2" xfId="0" applyNumberFormat="1" applyFont="1" applyFill="1" applyBorder="1" applyAlignment="1" applyProtection="1">
      <alignment horizontal="left" vertical="center"/>
      <protection locked="0"/>
    </xf>
    <xf numFmtId="14" fontId="2" fillId="5" borderId="2" xfId="0" applyNumberFormat="1" applyFont="1" applyFill="1" applyBorder="1" applyAlignment="1" applyProtection="1">
      <alignment horizontal="left" vertical="center"/>
      <protection locked="0"/>
    </xf>
    <xf numFmtId="0" fontId="2" fillId="5" borderId="2" xfId="0" applyFont="1" applyFill="1" applyBorder="1" applyAlignment="1" applyProtection="1">
      <alignment horizontal="left" vertical="center"/>
      <protection locked="0"/>
    </xf>
    <xf numFmtId="1" fontId="2" fillId="5" borderId="2" xfId="0" applyNumberFormat="1" applyFont="1" applyFill="1" applyBorder="1" applyAlignment="1" applyProtection="1">
      <alignment horizontal="left" vertical="center"/>
      <protection locked="0"/>
    </xf>
    <xf numFmtId="164" fontId="2" fillId="5" borderId="2" xfId="0" applyNumberFormat="1" applyFont="1" applyFill="1" applyBorder="1" applyAlignment="1" applyProtection="1">
      <alignment horizontal="left" vertical="center"/>
      <protection locked="0"/>
    </xf>
    <xf numFmtId="166" fontId="2" fillId="5" borderId="2" xfId="0" applyNumberFormat="1" applyFont="1" applyFill="1" applyBorder="1" applyAlignment="1" applyProtection="1">
      <alignment horizontal="left" vertical="center"/>
      <protection locked="0"/>
    </xf>
    <xf numFmtId="167" fontId="2" fillId="5" borderId="2" xfId="0" applyNumberFormat="1" applyFont="1" applyFill="1" applyBorder="1" applyAlignment="1" applyProtection="1">
      <alignment horizontal="left" vertical="center"/>
      <protection locked="0"/>
    </xf>
    <xf numFmtId="168" fontId="2" fillId="5" borderId="1" xfId="0" applyNumberFormat="1" applyFont="1" applyFill="1" applyBorder="1" applyAlignment="1" applyProtection="1">
      <alignment horizontal="left" vertical="center"/>
      <protection locked="0"/>
    </xf>
    <xf numFmtId="168" fontId="2" fillId="5" borderId="1" xfId="1" applyNumberFormat="1" applyFont="1" applyFill="1" applyBorder="1" applyAlignment="1" applyProtection="1">
      <alignment horizontal="left" vertical="center"/>
      <protection locked="0"/>
    </xf>
    <xf numFmtId="0" fontId="16" fillId="8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2" fillId="0" borderId="0" xfId="0" applyNumberFormat="1" applyFont="1" applyAlignment="1" applyProtection="1">
      <alignment horizontal="center" vertical="center"/>
      <protection locked="0"/>
    </xf>
    <xf numFmtId="0" fontId="8" fillId="2" borderId="0" xfId="0" applyFont="1" applyFill="1"/>
    <xf numFmtId="168" fontId="16" fillId="2" borderId="0" xfId="0" applyNumberFormat="1" applyFont="1" applyFill="1"/>
    <xf numFmtId="0" fontId="12" fillId="5" borderId="1" xfId="2" applyFill="1" applyBorder="1" applyAlignment="1" applyProtection="1">
      <alignment horizontal="left" vertical="center"/>
      <protection locked="0"/>
    </xf>
    <xf numFmtId="169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>
      <alignment vertical="center" wrapText="1"/>
    </xf>
    <xf numFmtId="0" fontId="17" fillId="9" borderId="0" xfId="0" applyFont="1" applyFill="1" applyAlignment="1">
      <alignment vertical="center" wrapText="1"/>
    </xf>
    <xf numFmtId="0" fontId="17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2" fillId="0" borderId="0" xfId="0" quotePrefix="1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168" fontId="0" fillId="0" borderId="0" xfId="0" applyNumberFormat="1"/>
    <xf numFmtId="9" fontId="2" fillId="0" borderId="0" xfId="3" applyFont="1" applyAlignment="1">
      <alignment horizontal="center" vertical="center"/>
    </xf>
    <xf numFmtId="9" fontId="18" fillId="0" borderId="0" xfId="3" applyFont="1" applyAlignment="1">
      <alignment horizontal="left" vertical="center"/>
    </xf>
    <xf numFmtId="44" fontId="0" fillId="0" borderId="0" xfId="0" applyNumberFormat="1"/>
    <xf numFmtId="0" fontId="19" fillId="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1" fillId="4" borderId="0" xfId="0" applyFont="1" applyFill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6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168" fontId="14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/>
    </xf>
    <xf numFmtId="0" fontId="13" fillId="7" borderId="0" xfId="0" applyFont="1" applyFill="1" applyAlignment="1">
      <alignment horizontal="center" vertical="center"/>
    </xf>
    <xf numFmtId="0" fontId="0" fillId="0" borderId="0" xfId="0" applyNumberFormat="1"/>
    <xf numFmtId="0" fontId="20" fillId="0" borderId="0" xfId="0" applyFont="1"/>
  </cellXfs>
  <cellStyles count="4">
    <cellStyle name="Hiperlink" xfId="2" builtinId="8"/>
    <cellStyle name="Moeda" xfId="1" builtinId="4"/>
    <cellStyle name="Normal" xfId="0" builtinId="0"/>
    <cellStyle name="Porcentagem" xfId="3" builtinId="5"/>
  </cellStyles>
  <dxfs count="18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9" formatCode="mmmm/yyyy"/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087F7B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147D73"/>
      <color rgb="FF102A43"/>
      <color rgb="FF125370"/>
      <color rgb="FF087F7B"/>
      <color rgb="FFE5EFF3"/>
      <color rgb="FFFDEE7F"/>
      <color rgb="FFD6E8EC"/>
      <color rgb="FFFFF3C4"/>
      <color rgb="FF028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[Nexo_Fiscal_Demonstracao.xlsx]APOIO!Tabela dinâmica4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8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0383711131830022E-7"/>
              <c:y val="5.4363603753385455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8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142290533926847"/>
                  <c:h val="0.16021104980842255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661939412272479E-2"/>
              <c:y val="4.3490711779433602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8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2478875340968527"/>
                  <c:h val="0.18575713433878496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484680621898875E-2"/>
              <c:y val="5.4363389724291999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72000" tIns="19050" rIns="38100" bIns="19050" anchor="ctr" anchorCtr="0">
              <a:noAutofit/>
            </a:bodyPr>
            <a:lstStyle/>
            <a:p>
              <a:pPr algn="ctr" rtl="0">
                <a:defRPr lang="en-US" sz="8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49658144780608"/>
                  <c:h val="0.20206615125607258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4919051657570627E-17"/>
              <c:y val="5.4363389724291999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8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8824157469875933"/>
                  <c:h val="0.17488445639392655"/>
                </c:manualLayout>
              </c15:layout>
            </c:ext>
          </c:extLst>
        </c:dLbl>
      </c:pivotFmt>
      <c:pivotFmt>
        <c:idx val="6"/>
        <c:dLbl>
          <c:idx val="0"/>
          <c:layout>
            <c:manualLayout>
              <c:x val="-1.0253354323825005E-3"/>
              <c:y val="2.1933405553092051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999038694673719"/>
                  <c:h val="0.1857570488744123"/>
                </c:manualLayout>
              </c15:layout>
            </c:ext>
          </c:extLst>
        </c:dLbl>
      </c:pivotFmt>
      <c:pivotFmt>
        <c:idx val="7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8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7109194317510543"/>
                  <c:h val="0.1320486736403052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7555198070559435E-3"/>
          <c:y val="6.7963654435474724E-2"/>
          <c:w val="0.99170917002307835"/>
          <c:h val="0.722204653769058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5F-499F-AAA1-5D9B11A47F4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5F-499F-AAA1-5D9B11A47F45}"/>
              </c:ext>
            </c:extLst>
          </c:dPt>
          <c:dLbls>
            <c:dLbl>
              <c:idx val="0"/>
              <c:layout>
                <c:manualLayout>
                  <c:x val="2.0383711131830022E-7"/>
                  <c:y val="5.4363603753385455E-2"/>
                </c:manualLayout>
              </c:layout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800" b="0" i="0" u="none" strike="noStrike" kern="1200" baseline="0">
                      <a:solidFill>
                        <a:schemeClr val="bg2">
                          <a:lumMod val="50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142290533926847"/>
                      <c:h val="0.160211049808422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B5F-499F-AAA1-5D9B11A47F45}"/>
                </c:ext>
              </c:extLst>
            </c:dLbl>
            <c:dLbl>
              <c:idx val="1"/>
              <c:layout>
                <c:manualLayout>
                  <c:x val="7.7661939412272479E-2"/>
                  <c:y val="4.34907117794336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478875340968527"/>
                      <c:h val="0.18575713433878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B5F-499F-AAA1-5D9B11A47F45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ctr" rtl="0">
                  <a:defRPr lang="en-US" sz="8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APOIO!$J$3:$J$6</c:f>
              <c:multiLvlStrCache>
                <c:ptCount val="2"/>
                <c:lvl>
                  <c:pt idx="0">
                    <c:v>jan</c:v>
                  </c:pt>
                  <c:pt idx="1">
                    <c:v>mar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APOIO!$K$3:$K$6</c:f>
              <c:numCache>
                <c:formatCode>"R$"\ #,##0.00</c:formatCode>
                <c:ptCount val="2"/>
                <c:pt idx="0">
                  <c:v>2000</c:v>
                </c:pt>
                <c:pt idx="1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F-499F-AAA1-5D9B11A47F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5760992"/>
        <c:axId val="1610849904"/>
      </c:barChart>
      <c:catAx>
        <c:axId val="161576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610849904"/>
        <c:crosses val="autoZero"/>
        <c:auto val="1"/>
        <c:lblAlgn val="ctr"/>
        <c:lblOffset val="100"/>
        <c:noMultiLvlLbl val="0"/>
      </c:catAx>
      <c:valAx>
        <c:axId val="161084990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61576099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[Nexo_Fiscal_Demonstracao.xlsx]APOIO!Tabela dinâmica1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848794423250233"/>
                  <c:h val="0.2070137197948491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241649657864833"/>
                  <c:h val="0.20701371979484912"/>
                </c:manualLayout>
              </c15:layout>
            </c:ext>
          </c:extLst>
        </c:dLbl>
      </c:pivotFmt>
      <c:pivotFmt>
        <c:idx val="4"/>
        <c:dLbl>
          <c:idx val="0"/>
          <c:layout>
            <c:manualLayout>
              <c:x val="-8.4819154582402752E-3"/>
              <c:y val="-0.10939386369787538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5222040557527"/>
                  <c:h val="0.2070137197948491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5538291000307864"/>
          <c:y val="5.6481436589347025E-2"/>
          <c:w val="0.63331214101333289"/>
          <c:h val="0.918279435836698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APOIO!$M$2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241649657864833"/>
                      <c:h val="0.207013719794849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FE1-489E-B6E4-D0ED9ACF946A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848794423250233"/>
                      <c:h val="0.207013719794849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FE1-489E-B6E4-D0ED9ACF946A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APOIO!$L$3:$L$5</c:f>
              <c:strCache>
                <c:ptCount val="2"/>
                <c:pt idx="0">
                  <c:v>HOLERITE</c:v>
                </c:pt>
                <c:pt idx="1">
                  <c:v>SERVIÇOS PJ</c:v>
                </c:pt>
              </c:strCache>
            </c:strRef>
          </c:cat>
          <c:val>
            <c:numRef>
              <c:f>APOIO!$M$3:$M$5</c:f>
              <c:numCache>
                <c:formatCode>General</c:formatCode>
                <c:ptCount val="2"/>
                <c:pt idx="0">
                  <c:v>2000</c:v>
                </c:pt>
                <c:pt idx="1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1-489E-B6E4-D0ED9ACF94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6244560"/>
        <c:axId val="637808368"/>
      </c:barChart>
      <c:catAx>
        <c:axId val="51624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  <c:crossAx val="637808368"/>
        <c:crosses val="autoZero"/>
        <c:auto val="1"/>
        <c:lblAlgn val="ctr"/>
        <c:lblOffset val="100"/>
        <c:noMultiLvlLbl val="0"/>
      </c:catAx>
      <c:valAx>
        <c:axId val="63780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624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CONTRIBUINTE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arian-de-sant-ana-522a873a6" TargetMode="External"/><Relationship Id="rId10" Type="http://schemas.openxmlformats.org/officeDocument/2006/relationships/hyperlink" Target="#'RENDIMENTOS (2)'!C1"/><Relationship Id="rId4" Type="http://schemas.openxmlformats.org/officeDocument/2006/relationships/hyperlink" Target="#RENDIMENTOS!C1"/><Relationship Id="rId9" Type="http://schemas.openxmlformats.org/officeDocument/2006/relationships/hyperlink" Target="#INFORMES!B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CONTRIBUINTE!B1"/><Relationship Id="rId13" Type="http://schemas.openxmlformats.org/officeDocument/2006/relationships/hyperlink" Target="#RESUMO!A1"/><Relationship Id="rId3" Type="http://schemas.openxmlformats.org/officeDocument/2006/relationships/hyperlink" Target="#INFORMES!C1"/><Relationship Id="rId7" Type="http://schemas.openxmlformats.org/officeDocument/2006/relationships/hyperlink" Target="#RENDIMENTOS!B1"/><Relationship Id="rId12" Type="http://schemas.openxmlformats.org/officeDocument/2006/relationships/image" Target="../media/image4.svg"/><Relationship Id="rId2" Type="http://schemas.openxmlformats.org/officeDocument/2006/relationships/hyperlink" Target="#CONTRIBUINTE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11" Type="http://schemas.openxmlformats.org/officeDocument/2006/relationships/image" Target="../media/image3.png"/><Relationship Id="rId5" Type="http://schemas.openxmlformats.org/officeDocument/2006/relationships/hyperlink" Target="http://www.linkedin.com/in/marian-de-sant-ana-522a873a6" TargetMode="External"/><Relationship Id="rId10" Type="http://schemas.openxmlformats.org/officeDocument/2006/relationships/image" Target="../media/image6.svg"/><Relationship Id="rId4" Type="http://schemas.openxmlformats.org/officeDocument/2006/relationships/hyperlink" Target="#RENDIMENTOS!C1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#INFORMES!B1"/><Relationship Id="rId2" Type="http://schemas.openxmlformats.org/officeDocument/2006/relationships/hyperlink" Target="#CONTRIBUINTE!C1"/><Relationship Id="rId1" Type="http://schemas.openxmlformats.org/officeDocument/2006/relationships/image" Target="../media/image7.png"/><Relationship Id="rId6" Type="http://schemas.openxmlformats.org/officeDocument/2006/relationships/image" Target="../media/image2.png"/><Relationship Id="rId11" Type="http://schemas.openxmlformats.org/officeDocument/2006/relationships/hyperlink" Target="#RESUMO!A1"/><Relationship Id="rId5" Type="http://schemas.openxmlformats.org/officeDocument/2006/relationships/hyperlink" Target="http://www.linkedin.com/in/marian-de-sant-ana-522a873a6" TargetMode="External"/><Relationship Id="rId10" Type="http://schemas.openxmlformats.org/officeDocument/2006/relationships/hyperlink" Target="#RESUMO!C1"/><Relationship Id="rId4" Type="http://schemas.openxmlformats.org/officeDocument/2006/relationships/hyperlink" Target="#RENDIMENTOS!C1"/><Relationship Id="rId9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CONTRIBUINTE!C1"/><Relationship Id="rId1" Type="http://schemas.openxmlformats.org/officeDocument/2006/relationships/image" Target="../media/image7.png"/><Relationship Id="rId6" Type="http://schemas.openxmlformats.org/officeDocument/2006/relationships/image" Target="../media/image2.png"/><Relationship Id="rId11" Type="http://schemas.openxmlformats.org/officeDocument/2006/relationships/chart" Target="../charts/chart2.xml"/><Relationship Id="rId5" Type="http://schemas.openxmlformats.org/officeDocument/2006/relationships/hyperlink" Target="http://www.linkedin.com/in/marian-de-sant-ana-522a873a6" TargetMode="External"/><Relationship Id="rId10" Type="http://schemas.openxmlformats.org/officeDocument/2006/relationships/chart" Target="../charts/chart1.xml"/><Relationship Id="rId4" Type="http://schemas.openxmlformats.org/officeDocument/2006/relationships/hyperlink" Target="#RENDIMENTOS!C1"/><Relationship Id="rId9" Type="http://schemas.openxmlformats.org/officeDocument/2006/relationships/hyperlink" Target="#'RENDIMENTOS (2)'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981077</xdr:colOff>
      <xdr:row>2</xdr:row>
      <xdr:rowOff>113582</xdr:rowOff>
    </xdr:from>
    <xdr:to>
      <xdr:col>1</xdr:col>
      <xdr:colOff>0</xdr:colOff>
      <xdr:row>6</xdr:row>
      <xdr:rowOff>150965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D72B8689-2360-4BD8-D59D-068EF177E7A1}"/>
            </a:ext>
          </a:extLst>
        </xdr:cNvPr>
        <xdr:cNvSpPr/>
      </xdr:nvSpPr>
      <xdr:spPr>
        <a:xfrm>
          <a:off x="981077" y="514349"/>
          <a:ext cx="1333498" cy="105727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ln>
                <a:noFill/>
              </a:ln>
              <a:solidFill>
                <a:schemeClr val="tx2">
                  <a:lumMod val="10000"/>
                  <a:lumOff val="9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EXO</a:t>
          </a:r>
        </a:p>
        <a:p>
          <a:pPr algn="l"/>
          <a:r>
            <a:rPr lang="pt-BR" sz="2000" b="1" baseline="0">
              <a:ln>
                <a:noFill/>
              </a:ln>
              <a:solidFill>
                <a:schemeClr val="tx2">
                  <a:lumMod val="10000"/>
                  <a:lumOff val="9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FISCAL</a:t>
          </a:r>
          <a:endParaRPr lang="pt-BR" sz="2000" b="1">
            <a:ln>
              <a:noFill/>
            </a:ln>
            <a:solidFill>
              <a:schemeClr val="tx2">
                <a:lumMod val="10000"/>
                <a:lumOff val="9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180975</xdr:rowOff>
    </xdr:from>
    <xdr:to>
      <xdr:col>0</xdr:col>
      <xdr:colOff>1447800</xdr:colOff>
      <xdr:row>5</xdr:row>
      <xdr:rowOff>140518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CD1B3A8-BC38-5C8F-5DE3-DD0AB2A3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"/>
          <a:ext cx="1447800" cy="1066799"/>
        </a:xfrm>
        <a:prstGeom prst="rect">
          <a:avLst/>
        </a:prstGeom>
      </xdr:spPr>
    </xdr:pic>
    <xdr:clientData/>
  </xdr:twoCellAnchor>
  <xdr:twoCellAnchor editAs="absolute">
    <xdr:from>
      <xdr:col>0</xdr:col>
      <xdr:colOff>209960</xdr:colOff>
      <xdr:row>7</xdr:row>
      <xdr:rowOff>142158</xdr:rowOff>
    </xdr:from>
    <xdr:to>
      <xdr:col>0</xdr:col>
      <xdr:colOff>2010185</xdr:colOff>
      <xdr:row>9</xdr:row>
      <xdr:rowOff>113583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9DD2E3-518A-FE84-D14B-B7E33106B45C}"/>
            </a:ext>
          </a:extLst>
        </xdr:cNvPr>
        <xdr:cNvSpPr/>
      </xdr:nvSpPr>
      <xdr:spPr>
        <a:xfrm>
          <a:off x="209960" y="1770626"/>
          <a:ext cx="1800225" cy="381102"/>
        </a:xfrm>
        <a:prstGeom prst="roundRect">
          <a:avLst>
            <a:gd name="adj" fmla="val 50000"/>
          </a:avLst>
        </a:prstGeom>
        <a:gradFill flip="none" rotWithShape="1">
          <a:gsLst>
            <a:gs pos="82000">
              <a:srgbClr val="125370">
                <a:lumMod val="100000"/>
              </a:srgbClr>
            </a:gs>
            <a:gs pos="46000">
              <a:srgbClr val="147D73"/>
            </a:gs>
            <a:gs pos="100000">
              <a:schemeClr val="accent1">
                <a:lumMod val="75000"/>
              </a:schemeClr>
            </a:gs>
          </a:gsLst>
          <a:path path="circle">
            <a:fillToRect l="50000" t="130000" r="50000" b="-30000"/>
          </a:path>
          <a:tileRect/>
        </a:gradFill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CONTRIBUINTE</a:t>
          </a:r>
        </a:p>
      </xdr:txBody>
    </xdr:sp>
    <xdr:clientData/>
  </xdr:twoCellAnchor>
  <xdr:twoCellAnchor>
    <xdr:from>
      <xdr:col>0</xdr:col>
      <xdr:colOff>120242</xdr:colOff>
      <xdr:row>20</xdr:row>
      <xdr:rowOff>201460</xdr:rowOff>
    </xdr:from>
    <xdr:to>
      <xdr:col>0</xdr:col>
      <xdr:colOff>1949042</xdr:colOff>
      <xdr:row>20</xdr:row>
      <xdr:rowOff>201460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1F2DEB35-FAD1-B192-7E9C-B42921705FE5}"/>
            </a:ext>
          </a:extLst>
        </xdr:cNvPr>
        <xdr:cNvCxnSpPr/>
      </xdr:nvCxnSpPr>
      <xdr:spPr>
        <a:xfrm>
          <a:off x="120242" y="4277750"/>
          <a:ext cx="1828800" cy="0"/>
        </a:xfrm>
        <a:prstGeom prst="line">
          <a:avLst/>
        </a:prstGeom>
        <a:ln w="6350">
          <a:solidFill>
            <a:srgbClr val="147D7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209960</xdr:colOff>
      <xdr:row>10</xdr:row>
      <xdr:rowOff>26492</xdr:rowOff>
    </xdr:from>
    <xdr:to>
      <xdr:col>0</xdr:col>
      <xdr:colOff>2010185</xdr:colOff>
      <xdr:row>11</xdr:row>
      <xdr:rowOff>202756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BBCB6E-71C5-4204-B56F-7B6BB3D2BF46}"/>
            </a:ext>
          </a:extLst>
        </xdr:cNvPr>
        <xdr:cNvSpPr/>
      </xdr:nvSpPr>
      <xdr:spPr>
        <a:xfrm>
          <a:off x="209960" y="2269476"/>
          <a:ext cx="1800225" cy="381103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209960</xdr:colOff>
      <xdr:row>12</xdr:row>
      <xdr:rowOff>115666</xdr:rowOff>
    </xdr:from>
    <xdr:to>
      <xdr:col>0</xdr:col>
      <xdr:colOff>2010185</xdr:colOff>
      <xdr:row>14</xdr:row>
      <xdr:rowOff>87091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009A78-484A-4F03-8023-FE66BE3EBD56}"/>
            </a:ext>
          </a:extLst>
        </xdr:cNvPr>
        <xdr:cNvSpPr/>
      </xdr:nvSpPr>
      <xdr:spPr>
        <a:xfrm>
          <a:off x="209960" y="2768327"/>
          <a:ext cx="1800225" cy="381103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871991</xdr:colOff>
      <xdr:row>22</xdr:row>
      <xdr:rowOff>3676</xdr:rowOff>
    </xdr:from>
    <xdr:to>
      <xdr:col>0</xdr:col>
      <xdr:colOff>1217175</xdr:colOff>
      <xdr:row>23</xdr:row>
      <xdr:rowOff>119201</xdr:rowOff>
    </xdr:to>
    <xdr:pic>
      <xdr:nvPicPr>
        <xdr:cNvPr id="10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F20A05-CB6F-4CDB-AC91-220A41A13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991" y="4714966"/>
          <a:ext cx="345184" cy="320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2139644</xdr:colOff>
      <xdr:row>21</xdr:row>
      <xdr:rowOff>0</xdr:rowOff>
    </xdr:from>
    <xdr:to>
      <xdr:col>4</xdr:col>
      <xdr:colOff>4199</xdr:colOff>
      <xdr:row>22</xdr:row>
      <xdr:rowOff>30725</xdr:rowOff>
    </xdr:to>
    <xdr:pic>
      <xdr:nvPicPr>
        <xdr:cNvPr id="13" name="Gráfico 12" descr="Filtro estrutura de tópicos">
          <a:extLst>
            <a:ext uri="{FF2B5EF4-FFF2-40B4-BE49-F238E27FC236}">
              <a16:creationId xmlns:a16="http://schemas.microsoft.com/office/drawing/2014/main" id="{BEAEFD17-2862-9F8C-4FF2-66D375EA1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247547" y="4475726"/>
          <a:ext cx="245805" cy="245805"/>
        </a:xfrm>
        <a:prstGeom prst="rect">
          <a:avLst/>
        </a:prstGeom>
      </xdr:spPr>
    </xdr:pic>
    <xdr:clientData/>
  </xdr:twoCellAnchor>
  <xdr:twoCellAnchor editAs="oneCell">
    <xdr:from>
      <xdr:col>3</xdr:col>
      <xdr:colOff>2149885</xdr:colOff>
      <xdr:row>22</xdr:row>
      <xdr:rowOff>194597</xdr:rowOff>
    </xdr:from>
    <xdr:to>
      <xdr:col>4</xdr:col>
      <xdr:colOff>9319</xdr:colOff>
      <xdr:row>24</xdr:row>
      <xdr:rowOff>30724</xdr:rowOff>
    </xdr:to>
    <xdr:pic>
      <xdr:nvPicPr>
        <xdr:cNvPr id="16" name="Gráfico 15" descr="Filtro estrutura de tópicos">
          <a:extLst>
            <a:ext uri="{FF2B5EF4-FFF2-40B4-BE49-F238E27FC236}">
              <a16:creationId xmlns:a16="http://schemas.microsoft.com/office/drawing/2014/main" id="{0A6E2E0B-43AB-484D-BBE1-23B52A52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257788" y="4885403"/>
          <a:ext cx="245805" cy="245805"/>
        </a:xfrm>
        <a:prstGeom prst="rect">
          <a:avLst/>
        </a:prstGeom>
      </xdr:spPr>
    </xdr:pic>
    <xdr:clientData/>
  </xdr:twoCellAnchor>
  <xdr:twoCellAnchor editAs="oneCell">
    <xdr:from>
      <xdr:col>3</xdr:col>
      <xdr:colOff>2139644</xdr:colOff>
      <xdr:row>21</xdr:row>
      <xdr:rowOff>204839</xdr:rowOff>
    </xdr:from>
    <xdr:to>
      <xdr:col>4</xdr:col>
      <xdr:colOff>4199</xdr:colOff>
      <xdr:row>23</xdr:row>
      <xdr:rowOff>30725</xdr:rowOff>
    </xdr:to>
    <xdr:pic>
      <xdr:nvPicPr>
        <xdr:cNvPr id="17" name="Gráfico 16" descr="Filtro estrutura de tópicos">
          <a:extLst>
            <a:ext uri="{FF2B5EF4-FFF2-40B4-BE49-F238E27FC236}">
              <a16:creationId xmlns:a16="http://schemas.microsoft.com/office/drawing/2014/main" id="{345CB418-7E56-49FE-B817-5F1CF7B3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247547" y="4680565"/>
          <a:ext cx="245805" cy="245805"/>
        </a:xfrm>
        <a:prstGeom prst="rect">
          <a:avLst/>
        </a:prstGeom>
      </xdr:spPr>
    </xdr:pic>
    <xdr:clientData/>
  </xdr:twoCellAnchor>
  <xdr:twoCellAnchor editAs="oneCell">
    <xdr:from>
      <xdr:col>3</xdr:col>
      <xdr:colOff>2129400</xdr:colOff>
      <xdr:row>0</xdr:row>
      <xdr:rowOff>174113</xdr:rowOff>
    </xdr:from>
    <xdr:to>
      <xdr:col>3</xdr:col>
      <xdr:colOff>2375205</xdr:colOff>
      <xdr:row>2</xdr:row>
      <xdr:rowOff>10241</xdr:rowOff>
    </xdr:to>
    <xdr:pic>
      <xdr:nvPicPr>
        <xdr:cNvPr id="4" name="Gráfico 3" descr="Filtro estrutura de tópicos">
          <a:extLst>
            <a:ext uri="{FF2B5EF4-FFF2-40B4-BE49-F238E27FC236}">
              <a16:creationId xmlns:a16="http://schemas.microsoft.com/office/drawing/2014/main" id="{BF04E30C-71CC-44C7-8F3F-E335A2403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237303" y="174113"/>
          <a:ext cx="245805" cy="245805"/>
        </a:xfrm>
        <a:prstGeom prst="rect">
          <a:avLst/>
        </a:prstGeom>
      </xdr:spPr>
    </xdr:pic>
    <xdr:clientData/>
  </xdr:twoCellAnchor>
  <xdr:twoCellAnchor editAs="absolute">
    <xdr:from>
      <xdr:col>2</xdr:col>
      <xdr:colOff>4342581</xdr:colOff>
      <xdr:row>25</xdr:row>
      <xdr:rowOff>10241</xdr:rowOff>
    </xdr:from>
    <xdr:to>
      <xdr:col>3</xdr:col>
      <xdr:colOff>2253226</xdr:colOff>
      <xdr:row>26</xdr:row>
      <xdr:rowOff>184355</xdr:rowOff>
    </xdr:to>
    <xdr:sp macro="" textlink="">
      <xdr:nvSpPr>
        <xdr:cNvPr id="5" name="Retângulo: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766F4FF-3A90-BD54-A656-803C8A0DDEC0}"/>
            </a:ext>
          </a:extLst>
        </xdr:cNvPr>
        <xdr:cNvSpPr/>
      </xdr:nvSpPr>
      <xdr:spPr>
        <a:xfrm>
          <a:off x="7138629" y="5325806"/>
          <a:ext cx="2294194" cy="36871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100000"/>
                <a:alpha val="95000"/>
              </a:schemeClr>
            </a:gs>
            <a:gs pos="33080">
              <a:srgbClr val="147D73"/>
            </a:gs>
            <a:gs pos="51177">
              <a:srgbClr val="087F7B"/>
            </a:gs>
            <a:gs pos="44075">
              <a:srgbClr val="087F7B"/>
            </a:gs>
            <a:gs pos="100000">
              <a:schemeClr val="accent1">
                <a:lumMod val="50000"/>
              </a:schemeClr>
            </a:gs>
          </a:gsLst>
          <a:lin ang="5400000" scaled="1"/>
        </a:gradFill>
        <a:ln>
          <a:gradFill>
            <a:gsLst>
              <a:gs pos="25210">
                <a:srgbClr val="147D73"/>
              </a:gs>
              <a:gs pos="14208">
                <a:srgbClr val="087F7B"/>
              </a:gs>
              <a:gs pos="6294">
                <a:srgbClr val="89C2C3"/>
              </a:gs>
              <a:gs pos="0">
                <a:schemeClr val="accent1">
                  <a:lumMod val="5000"/>
                  <a:lumOff val="95000"/>
                </a:schemeClr>
              </a:gs>
              <a:gs pos="33076">
                <a:srgbClr val="087F7B"/>
              </a:gs>
              <a:gs pos="51000">
                <a:srgbClr val="087F7B"/>
              </a:gs>
              <a:gs pos="83000">
                <a:srgbClr val="147D73"/>
              </a:gs>
              <a:gs pos="100000">
                <a:srgbClr val="087F7B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ln>
                <a:noFill/>
              </a:ln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800" b="1" baseline="0">
              <a:ln>
                <a:noFill/>
              </a:ln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 b="1">
            <a:ln>
              <a:noFill/>
            </a:ln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2140565</xdr:colOff>
      <xdr:row>16</xdr:row>
      <xdr:rowOff>10242</xdr:rowOff>
    </xdr:from>
    <xdr:to>
      <xdr:col>3</xdr:col>
      <xdr:colOff>2376845</xdr:colOff>
      <xdr:row>17</xdr:row>
      <xdr:rowOff>51208</xdr:rowOff>
    </xdr:to>
    <xdr:pic>
      <xdr:nvPicPr>
        <xdr:cNvPr id="14" name="Gráfico 13" descr="Filtro estrutura de tópicos">
          <a:extLst>
            <a:ext uri="{FF2B5EF4-FFF2-40B4-BE49-F238E27FC236}">
              <a16:creationId xmlns:a16="http://schemas.microsoft.com/office/drawing/2014/main" id="{3FDCE1C2-536D-4ED7-9184-A03A1F059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248468" y="3461774"/>
          <a:ext cx="245805" cy="245805"/>
        </a:xfrm>
        <a:prstGeom prst="rect">
          <a:avLst/>
        </a:prstGeom>
      </xdr:spPr>
    </xdr:pic>
    <xdr:clientData/>
  </xdr:twoCellAnchor>
  <xdr:twoCellAnchor>
    <xdr:from>
      <xdr:col>3</xdr:col>
      <xdr:colOff>1648951</xdr:colOff>
      <xdr:row>25</xdr:row>
      <xdr:rowOff>102418</xdr:rowOff>
    </xdr:from>
    <xdr:to>
      <xdr:col>3</xdr:col>
      <xdr:colOff>1829926</xdr:colOff>
      <xdr:row>26</xdr:row>
      <xdr:rowOff>95044</xdr:rowOff>
    </xdr:to>
    <xdr:sp macro="" textlink="">
      <xdr:nvSpPr>
        <xdr:cNvPr id="15" name="Seta: para a Direita 14">
          <a:extLst>
            <a:ext uri="{FF2B5EF4-FFF2-40B4-BE49-F238E27FC236}">
              <a16:creationId xmlns:a16="http://schemas.microsoft.com/office/drawing/2014/main" id="{E962E837-4896-4FDB-9C69-C3BB918B756C}"/>
            </a:ext>
          </a:extLst>
        </xdr:cNvPr>
        <xdr:cNvSpPr/>
      </xdr:nvSpPr>
      <xdr:spPr>
        <a:xfrm>
          <a:off x="8828548" y="5417983"/>
          <a:ext cx="180975" cy="187222"/>
        </a:xfrm>
        <a:prstGeom prst="righ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209960</xdr:colOff>
      <xdr:row>15</xdr:row>
      <xdr:rowOff>0</xdr:rowOff>
    </xdr:from>
    <xdr:to>
      <xdr:col>0</xdr:col>
      <xdr:colOff>2010185</xdr:colOff>
      <xdr:row>16</xdr:row>
      <xdr:rowOff>185686</xdr:rowOff>
    </xdr:to>
    <xdr:sp macro="" textlink="">
      <xdr:nvSpPr>
        <xdr:cNvPr id="18" name="Retângulo: Cantos Arredondados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CF93B0A-CD71-49C5-8336-C27489D3BE84}"/>
            </a:ext>
          </a:extLst>
        </xdr:cNvPr>
        <xdr:cNvSpPr/>
      </xdr:nvSpPr>
      <xdr:spPr>
        <a:xfrm>
          <a:off x="209960" y="3267177"/>
          <a:ext cx="1800225" cy="390525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RESUMO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981077</xdr:colOff>
      <xdr:row>2</xdr:row>
      <xdr:rowOff>95249</xdr:rowOff>
    </xdr:from>
    <xdr:to>
      <xdr:col>1</xdr:col>
      <xdr:colOff>0</xdr:colOff>
      <xdr:row>7</xdr:row>
      <xdr:rowOff>85724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F6B5784-808E-4E43-A205-47F4F804A32F}"/>
            </a:ext>
          </a:extLst>
        </xdr:cNvPr>
        <xdr:cNvSpPr/>
      </xdr:nvSpPr>
      <xdr:spPr>
        <a:xfrm>
          <a:off x="981077" y="514349"/>
          <a:ext cx="1333498" cy="105727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ln>
                <a:noFill/>
              </a:ln>
              <a:solidFill>
                <a:schemeClr val="tx2">
                  <a:lumMod val="10000"/>
                  <a:lumOff val="9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EXO</a:t>
          </a:r>
        </a:p>
        <a:p>
          <a:pPr algn="l"/>
          <a:r>
            <a:rPr lang="pt-BR" sz="2000" b="1" baseline="0">
              <a:ln>
                <a:noFill/>
              </a:ln>
              <a:solidFill>
                <a:schemeClr val="tx2">
                  <a:lumMod val="10000"/>
                  <a:lumOff val="9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FISCAL</a:t>
          </a:r>
          <a:endParaRPr lang="pt-BR" sz="2000" b="1">
            <a:ln>
              <a:noFill/>
            </a:ln>
            <a:solidFill>
              <a:schemeClr val="tx2">
                <a:lumMod val="10000"/>
                <a:lumOff val="9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180975</xdr:rowOff>
    </xdr:from>
    <xdr:to>
      <xdr:col>0</xdr:col>
      <xdr:colOff>1447800</xdr:colOff>
      <xdr:row>5</xdr:row>
      <xdr:rowOff>171449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29DC30-2AEE-41F4-B82A-5DA7D85A2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"/>
          <a:ext cx="1447800" cy="1066799"/>
        </a:xfrm>
        <a:prstGeom prst="rect">
          <a:avLst/>
        </a:prstGeom>
      </xdr:spPr>
    </xdr:pic>
    <xdr:clientData/>
  </xdr:twoCellAnchor>
  <xdr:twoCellAnchor editAs="absolute">
    <xdr:from>
      <xdr:col>0</xdr:col>
      <xdr:colOff>111435</xdr:colOff>
      <xdr:row>8</xdr:row>
      <xdr:rowOff>66675</xdr:rowOff>
    </xdr:from>
    <xdr:to>
      <xdr:col>0</xdr:col>
      <xdr:colOff>1911660</xdr:colOff>
      <xdr:row>10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BE7208-2D4C-4212-ADBE-AE5D0015E652}"/>
            </a:ext>
          </a:extLst>
        </xdr:cNvPr>
        <xdr:cNvSpPr/>
      </xdr:nvSpPr>
      <xdr:spPr>
        <a:xfrm>
          <a:off x="111435" y="1769269"/>
          <a:ext cx="1800225" cy="385762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CONTRIBUINTE</a:t>
          </a:r>
        </a:p>
      </xdr:txBody>
    </xdr:sp>
    <xdr:clientData/>
  </xdr:twoCellAnchor>
  <xdr:twoCellAnchor>
    <xdr:from>
      <xdr:col>0</xdr:col>
      <xdr:colOff>219077</xdr:colOff>
      <xdr:row>21</xdr:row>
      <xdr:rowOff>0</xdr:rowOff>
    </xdr:from>
    <xdr:to>
      <xdr:col>0</xdr:col>
      <xdr:colOff>2047877</xdr:colOff>
      <xdr:row>21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64EBB99-BE38-4DEA-AC0B-752873333636}"/>
            </a:ext>
          </a:extLst>
        </xdr:cNvPr>
        <xdr:cNvCxnSpPr/>
      </xdr:nvCxnSpPr>
      <xdr:spPr>
        <a:xfrm>
          <a:off x="219077" y="4000500"/>
          <a:ext cx="1828800" cy="0"/>
        </a:xfrm>
        <a:prstGeom prst="line">
          <a:avLst/>
        </a:prstGeom>
        <a:ln w="6350">
          <a:solidFill>
            <a:srgbClr val="147D7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111435</xdr:colOff>
      <xdr:row>10</xdr:row>
      <xdr:rowOff>180974</xdr:rowOff>
    </xdr:from>
    <xdr:to>
      <xdr:col>0</xdr:col>
      <xdr:colOff>1911660</xdr:colOff>
      <xdr:row>12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D47249-5114-4AB4-875A-C654C60B8AC7}"/>
            </a:ext>
          </a:extLst>
        </xdr:cNvPr>
        <xdr:cNvSpPr/>
      </xdr:nvSpPr>
      <xdr:spPr>
        <a:xfrm>
          <a:off x="111435" y="2288380"/>
          <a:ext cx="1800225" cy="395289"/>
        </a:xfrm>
        <a:prstGeom prst="roundRect">
          <a:avLst>
            <a:gd name="adj" fmla="val 50000"/>
          </a:avLst>
        </a:prstGeom>
        <a:gradFill flip="none" rotWithShape="1">
          <a:gsLst>
            <a:gs pos="86608">
              <a:srgbClr val="125370">
                <a:lumMod val="100000"/>
              </a:srgbClr>
            </a:gs>
            <a:gs pos="46000">
              <a:srgbClr val="147D73"/>
            </a:gs>
            <a:gs pos="100000">
              <a:schemeClr val="accent1">
                <a:lumMod val="75000"/>
              </a:schemeClr>
            </a:gs>
          </a:gsLst>
          <a:path path="circle">
            <a:fillToRect l="50000" t="130000" r="50000" b="-30000"/>
          </a:path>
          <a:tileRect/>
        </a:gradFill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111435</xdr:colOff>
      <xdr:row>13</xdr:row>
      <xdr:rowOff>90487</xdr:rowOff>
    </xdr:from>
    <xdr:to>
      <xdr:col>0</xdr:col>
      <xdr:colOff>1911660</xdr:colOff>
      <xdr:row>15</xdr:row>
      <xdr:rowOff>80962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50908B-C46A-4772-A389-D4D2B90ABB13}"/>
            </a:ext>
          </a:extLst>
        </xdr:cNvPr>
        <xdr:cNvSpPr/>
      </xdr:nvSpPr>
      <xdr:spPr>
        <a:xfrm>
          <a:off x="111435" y="2817018"/>
          <a:ext cx="1800225" cy="395288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841375</xdr:colOff>
      <xdr:row>22</xdr:row>
      <xdr:rowOff>63500</xdr:rowOff>
    </xdr:from>
    <xdr:to>
      <xdr:col>0</xdr:col>
      <xdr:colOff>1186559</xdr:colOff>
      <xdr:row>23</xdr:row>
      <xdr:rowOff>184149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59ED49-4755-465F-80CE-88C753B59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375" y="4635500"/>
          <a:ext cx="345184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44514</xdr:colOff>
      <xdr:row>22</xdr:row>
      <xdr:rowOff>188556</xdr:rowOff>
    </xdr:from>
    <xdr:to>
      <xdr:col>3</xdr:col>
      <xdr:colOff>2340652</xdr:colOff>
      <xdr:row>24</xdr:row>
      <xdr:rowOff>176072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D24B568-6BDC-4330-993A-C811F67F820C}"/>
            </a:ext>
          </a:extLst>
        </xdr:cNvPr>
        <xdr:cNvSpPr/>
      </xdr:nvSpPr>
      <xdr:spPr>
        <a:xfrm>
          <a:off x="7227142" y="4746949"/>
          <a:ext cx="2296138" cy="366572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100000"/>
                <a:alpha val="95000"/>
              </a:schemeClr>
            </a:gs>
            <a:gs pos="33080">
              <a:srgbClr val="147D73"/>
            </a:gs>
            <a:gs pos="51177">
              <a:srgbClr val="087F7B"/>
            </a:gs>
            <a:gs pos="44075">
              <a:srgbClr val="087F7B"/>
            </a:gs>
            <a:gs pos="100000">
              <a:schemeClr val="accent1">
                <a:lumMod val="50000"/>
              </a:schemeClr>
            </a:gs>
          </a:gsLst>
          <a:lin ang="5400000" scaled="1"/>
        </a:gradFill>
        <a:ln>
          <a:gradFill>
            <a:gsLst>
              <a:gs pos="25210">
                <a:srgbClr val="147D73"/>
              </a:gs>
              <a:gs pos="14208">
                <a:srgbClr val="087F7B"/>
              </a:gs>
              <a:gs pos="6294">
                <a:srgbClr val="89C2C3"/>
              </a:gs>
              <a:gs pos="0">
                <a:schemeClr val="accent1">
                  <a:lumMod val="5000"/>
                  <a:lumOff val="95000"/>
                </a:schemeClr>
              </a:gs>
              <a:gs pos="33076">
                <a:srgbClr val="087F7B"/>
              </a:gs>
              <a:gs pos="51000">
                <a:srgbClr val="087F7B"/>
              </a:gs>
              <a:gs pos="83000">
                <a:srgbClr val="147D73"/>
              </a:gs>
              <a:gs pos="100000">
                <a:srgbClr val="087F7B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ln>
                <a:noFill/>
              </a:ln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800" b="1" baseline="0">
              <a:ln>
                <a:noFill/>
              </a:ln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 b="1">
            <a:ln>
              <a:noFill/>
            </a:ln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2057789</xdr:colOff>
      <xdr:row>23</xdr:row>
      <xdr:rowOff>9136</xdr:rowOff>
    </xdr:from>
    <xdr:to>
      <xdr:col>2</xdr:col>
      <xdr:colOff>4351983</xdr:colOff>
      <xdr:row>25</xdr:row>
      <xdr:rowOff>6371</xdr:rowOff>
    </xdr:to>
    <xdr:sp macro="" textlink="">
      <xdr:nvSpPr>
        <xdr:cNvPr id="13" name="Retângulo: Cantos Arredondado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45461FA-F145-4DC3-BC30-5BB7948894BF}"/>
            </a:ext>
          </a:extLst>
        </xdr:cNvPr>
        <xdr:cNvSpPr/>
      </xdr:nvSpPr>
      <xdr:spPr>
        <a:xfrm>
          <a:off x="4856973" y="4757057"/>
          <a:ext cx="2294194" cy="366572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100000"/>
                <a:alpha val="95000"/>
              </a:schemeClr>
            </a:gs>
            <a:gs pos="33080">
              <a:srgbClr val="147D73"/>
            </a:gs>
            <a:gs pos="51177">
              <a:srgbClr val="087F7B"/>
            </a:gs>
            <a:gs pos="44075">
              <a:srgbClr val="087F7B"/>
            </a:gs>
            <a:gs pos="100000">
              <a:schemeClr val="accent1">
                <a:lumMod val="50000"/>
              </a:schemeClr>
            </a:gs>
          </a:gsLst>
          <a:lin ang="5400000" scaled="1"/>
        </a:gradFill>
        <a:ln>
          <a:gradFill>
            <a:gsLst>
              <a:gs pos="25210">
                <a:srgbClr val="147D73"/>
              </a:gs>
              <a:gs pos="14208">
                <a:srgbClr val="087F7B"/>
              </a:gs>
              <a:gs pos="6294">
                <a:srgbClr val="89C2C3"/>
              </a:gs>
              <a:gs pos="0">
                <a:schemeClr val="accent1">
                  <a:lumMod val="5000"/>
                  <a:lumOff val="95000"/>
                </a:schemeClr>
              </a:gs>
              <a:gs pos="33076">
                <a:srgbClr val="087F7B"/>
              </a:gs>
              <a:gs pos="51000">
                <a:srgbClr val="087F7B"/>
              </a:gs>
              <a:gs pos="83000">
                <a:srgbClr val="147D73"/>
              </a:gs>
              <a:gs pos="100000">
                <a:srgbClr val="087F7B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ln>
                <a:noFill/>
              </a:ln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r>
            <a:rPr lang="pt-BR" sz="1800" b="1" baseline="0">
              <a:ln>
                <a:noFill/>
              </a:ln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 b="1">
            <a:ln>
              <a:noFill/>
            </a:ln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4143375</xdr:colOff>
      <xdr:row>13</xdr:row>
      <xdr:rowOff>28576</xdr:rowOff>
    </xdr:from>
    <xdr:to>
      <xdr:col>3</xdr:col>
      <xdr:colOff>19050</xdr:colOff>
      <xdr:row>13</xdr:row>
      <xdr:rowOff>200026</xdr:rowOff>
    </xdr:to>
    <xdr:pic>
      <xdr:nvPicPr>
        <xdr:cNvPr id="15" name="Gráfico 14" descr="Clipe de papel estrutura de tópicos">
          <a:extLst>
            <a:ext uri="{FF2B5EF4-FFF2-40B4-BE49-F238E27FC236}">
              <a16:creationId xmlns:a16="http://schemas.microsoft.com/office/drawing/2014/main" id="{A1406AD1-A70B-4163-1A53-CD22364F0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943725" y="2314576"/>
          <a:ext cx="257175" cy="171450"/>
        </a:xfrm>
        <a:prstGeom prst="rect">
          <a:avLst/>
        </a:prstGeom>
      </xdr:spPr>
    </xdr:pic>
    <xdr:clientData/>
  </xdr:twoCellAnchor>
  <xdr:oneCellAnchor>
    <xdr:from>
      <xdr:col>2</xdr:col>
      <xdr:colOff>4143375</xdr:colOff>
      <xdr:row>17</xdr:row>
      <xdr:rowOff>28576</xdr:rowOff>
    </xdr:from>
    <xdr:ext cx="257175" cy="171450"/>
    <xdr:pic>
      <xdr:nvPicPr>
        <xdr:cNvPr id="16" name="Gráfico 15" descr="Clipe de papel estrutura de tópicos">
          <a:extLst>
            <a:ext uri="{FF2B5EF4-FFF2-40B4-BE49-F238E27FC236}">
              <a16:creationId xmlns:a16="http://schemas.microsoft.com/office/drawing/2014/main" id="{53A4EF49-50BB-455B-886F-4F7A78B2B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943725" y="2314576"/>
          <a:ext cx="257175" cy="171450"/>
        </a:xfrm>
        <a:prstGeom prst="rect">
          <a:avLst/>
        </a:prstGeom>
      </xdr:spPr>
    </xdr:pic>
    <xdr:clientData/>
  </xdr:oneCellAnchor>
  <xdr:oneCellAnchor>
    <xdr:from>
      <xdr:col>2</xdr:col>
      <xdr:colOff>4143375</xdr:colOff>
      <xdr:row>21</xdr:row>
      <xdr:rowOff>28576</xdr:rowOff>
    </xdr:from>
    <xdr:ext cx="257175" cy="171450"/>
    <xdr:pic>
      <xdr:nvPicPr>
        <xdr:cNvPr id="17" name="Gráfico 16" descr="Clipe de papel estrutura de tópicos">
          <a:extLst>
            <a:ext uri="{FF2B5EF4-FFF2-40B4-BE49-F238E27FC236}">
              <a16:creationId xmlns:a16="http://schemas.microsoft.com/office/drawing/2014/main" id="{1572AEF2-E5A4-4E8E-A87B-124C1A1F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943725" y="2314576"/>
          <a:ext cx="257175" cy="171450"/>
        </a:xfrm>
        <a:prstGeom prst="rect">
          <a:avLst/>
        </a:prstGeom>
      </xdr:spPr>
    </xdr:pic>
    <xdr:clientData/>
  </xdr:oneCellAnchor>
  <xdr:twoCellAnchor>
    <xdr:from>
      <xdr:col>3</xdr:col>
      <xdr:colOff>1743270</xdr:colOff>
      <xdr:row>23</xdr:row>
      <xdr:rowOff>114885</xdr:rowOff>
    </xdr:from>
    <xdr:to>
      <xdr:col>3</xdr:col>
      <xdr:colOff>1924245</xdr:colOff>
      <xdr:row>24</xdr:row>
      <xdr:rowOff>111413</xdr:rowOff>
    </xdr:to>
    <xdr:sp macro="" textlink="">
      <xdr:nvSpPr>
        <xdr:cNvPr id="18" name="Seta: para a Direita 17">
          <a:extLst>
            <a:ext uri="{FF2B5EF4-FFF2-40B4-BE49-F238E27FC236}">
              <a16:creationId xmlns:a16="http://schemas.microsoft.com/office/drawing/2014/main" id="{358B6A76-8EFC-458C-9408-FBE849124270}"/>
            </a:ext>
          </a:extLst>
        </xdr:cNvPr>
        <xdr:cNvSpPr/>
      </xdr:nvSpPr>
      <xdr:spPr>
        <a:xfrm>
          <a:off x="8925898" y="4862806"/>
          <a:ext cx="180975" cy="186056"/>
        </a:xfrm>
        <a:prstGeom prst="righ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2466975</xdr:colOff>
      <xdr:row>23</xdr:row>
      <xdr:rowOff>114495</xdr:rowOff>
    </xdr:from>
    <xdr:to>
      <xdr:col>2</xdr:col>
      <xdr:colOff>2657475</xdr:colOff>
      <xdr:row>24</xdr:row>
      <xdr:rowOff>95251</xdr:rowOff>
    </xdr:to>
    <xdr:sp macro="" textlink="">
      <xdr:nvSpPr>
        <xdr:cNvPr id="19" name="Seta: para a Esquerda 18">
          <a:extLst>
            <a:ext uri="{FF2B5EF4-FFF2-40B4-BE49-F238E27FC236}">
              <a16:creationId xmlns:a16="http://schemas.microsoft.com/office/drawing/2014/main" id="{97737E23-BA1B-550E-96C6-6CA70A0370E2}"/>
            </a:ext>
          </a:extLst>
        </xdr:cNvPr>
        <xdr:cNvSpPr/>
      </xdr:nvSpPr>
      <xdr:spPr>
        <a:xfrm>
          <a:off x="5266159" y="4862416"/>
          <a:ext cx="190500" cy="170284"/>
        </a:xfrm>
        <a:prstGeom prst="leftArrow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2200275</xdr:colOff>
      <xdr:row>11</xdr:row>
      <xdr:rowOff>0</xdr:rowOff>
    </xdr:from>
    <xdr:to>
      <xdr:col>4</xdr:col>
      <xdr:colOff>55305</xdr:colOff>
      <xdr:row>12</xdr:row>
      <xdr:rowOff>36255</xdr:rowOff>
    </xdr:to>
    <xdr:pic>
      <xdr:nvPicPr>
        <xdr:cNvPr id="20" name="Gráfico 19" descr="Filtro estrutura de tópicos">
          <a:extLst>
            <a:ext uri="{FF2B5EF4-FFF2-40B4-BE49-F238E27FC236}">
              <a16:creationId xmlns:a16="http://schemas.microsoft.com/office/drawing/2014/main" id="{5FE2A5DD-B5CE-403E-91EA-B875222BB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382125" y="2314575"/>
          <a:ext cx="236280" cy="245805"/>
        </a:xfrm>
        <a:prstGeom prst="rect">
          <a:avLst/>
        </a:prstGeom>
      </xdr:spPr>
    </xdr:pic>
    <xdr:clientData/>
  </xdr:twoCellAnchor>
  <xdr:twoCellAnchor editAs="oneCell">
    <xdr:from>
      <xdr:col>3</xdr:col>
      <xdr:colOff>2200275</xdr:colOff>
      <xdr:row>15</xdr:row>
      <xdr:rowOff>0</xdr:rowOff>
    </xdr:from>
    <xdr:to>
      <xdr:col>4</xdr:col>
      <xdr:colOff>55305</xdr:colOff>
      <xdr:row>16</xdr:row>
      <xdr:rowOff>36255</xdr:rowOff>
    </xdr:to>
    <xdr:pic>
      <xdr:nvPicPr>
        <xdr:cNvPr id="21" name="Gráfico 20" descr="Filtro estrutura de tópicos">
          <a:extLst>
            <a:ext uri="{FF2B5EF4-FFF2-40B4-BE49-F238E27FC236}">
              <a16:creationId xmlns:a16="http://schemas.microsoft.com/office/drawing/2014/main" id="{4C562DC8-95C9-42F7-BAEB-0B71BE104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382125" y="3152775"/>
          <a:ext cx="236280" cy="245805"/>
        </a:xfrm>
        <a:prstGeom prst="rect">
          <a:avLst/>
        </a:prstGeom>
      </xdr:spPr>
    </xdr:pic>
    <xdr:clientData/>
  </xdr:twoCellAnchor>
  <xdr:oneCellAnchor>
    <xdr:from>
      <xdr:col>3</xdr:col>
      <xdr:colOff>2200275</xdr:colOff>
      <xdr:row>15</xdr:row>
      <xdr:rowOff>0</xdr:rowOff>
    </xdr:from>
    <xdr:ext cx="236280" cy="245805"/>
    <xdr:pic>
      <xdr:nvPicPr>
        <xdr:cNvPr id="23" name="Gráfico 22" descr="Filtro estrutura de tópicos">
          <a:extLst>
            <a:ext uri="{FF2B5EF4-FFF2-40B4-BE49-F238E27FC236}">
              <a16:creationId xmlns:a16="http://schemas.microsoft.com/office/drawing/2014/main" id="{81F766B3-66CA-4A33-B197-F58CE3B1C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382125" y="2314575"/>
          <a:ext cx="236280" cy="245805"/>
        </a:xfrm>
        <a:prstGeom prst="rect">
          <a:avLst/>
        </a:prstGeom>
      </xdr:spPr>
    </xdr:pic>
    <xdr:clientData/>
  </xdr:oneCellAnchor>
  <xdr:oneCellAnchor>
    <xdr:from>
      <xdr:col>3</xdr:col>
      <xdr:colOff>2200275</xdr:colOff>
      <xdr:row>19</xdr:row>
      <xdr:rowOff>0</xdr:rowOff>
    </xdr:from>
    <xdr:ext cx="236280" cy="245805"/>
    <xdr:pic>
      <xdr:nvPicPr>
        <xdr:cNvPr id="24" name="Gráfico 23" descr="Filtro estrutura de tópicos">
          <a:extLst>
            <a:ext uri="{FF2B5EF4-FFF2-40B4-BE49-F238E27FC236}">
              <a16:creationId xmlns:a16="http://schemas.microsoft.com/office/drawing/2014/main" id="{763FD352-0656-4690-8207-965E48FF9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382125" y="2314575"/>
          <a:ext cx="236280" cy="245805"/>
        </a:xfrm>
        <a:prstGeom prst="rect">
          <a:avLst/>
        </a:prstGeom>
      </xdr:spPr>
    </xdr:pic>
    <xdr:clientData/>
  </xdr:oneCellAnchor>
  <xdr:twoCellAnchor editAs="oneCell">
    <xdr:from>
      <xdr:col>3</xdr:col>
      <xdr:colOff>2129400</xdr:colOff>
      <xdr:row>0</xdr:row>
      <xdr:rowOff>174113</xdr:rowOff>
    </xdr:from>
    <xdr:to>
      <xdr:col>3</xdr:col>
      <xdr:colOff>2375205</xdr:colOff>
      <xdr:row>2</xdr:row>
      <xdr:rowOff>10241</xdr:rowOff>
    </xdr:to>
    <xdr:pic>
      <xdr:nvPicPr>
        <xdr:cNvPr id="25" name="Gráfico 24" descr="Filtro estrutura de tópicos">
          <a:extLst>
            <a:ext uri="{FF2B5EF4-FFF2-40B4-BE49-F238E27FC236}">
              <a16:creationId xmlns:a16="http://schemas.microsoft.com/office/drawing/2014/main" id="{126CA577-1181-42A4-A01A-6D2285626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311250" y="174113"/>
          <a:ext cx="245805" cy="255228"/>
        </a:xfrm>
        <a:prstGeom prst="rect">
          <a:avLst/>
        </a:prstGeom>
      </xdr:spPr>
    </xdr:pic>
    <xdr:clientData/>
  </xdr:twoCellAnchor>
  <xdr:twoCellAnchor editAs="absolute">
    <xdr:from>
      <xdr:col>0</xdr:col>
      <xdr:colOff>111435</xdr:colOff>
      <xdr:row>16</xdr:row>
      <xdr:rowOff>0</xdr:rowOff>
    </xdr:from>
    <xdr:to>
      <xdr:col>0</xdr:col>
      <xdr:colOff>1911660</xdr:colOff>
      <xdr:row>17</xdr:row>
      <xdr:rowOff>176212</xdr:rowOff>
    </xdr:to>
    <xdr:sp macro="" textlink="">
      <xdr:nvSpPr>
        <xdr:cNvPr id="27" name="Retângulo: Canto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663507A-AC35-44A1-8F5E-B7AA11257554}"/>
            </a:ext>
          </a:extLst>
        </xdr:cNvPr>
        <xdr:cNvSpPr/>
      </xdr:nvSpPr>
      <xdr:spPr>
        <a:xfrm>
          <a:off x="111435" y="3345656"/>
          <a:ext cx="1800225" cy="390525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RESUMO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981077</xdr:colOff>
      <xdr:row>2</xdr:row>
      <xdr:rowOff>95249</xdr:rowOff>
    </xdr:from>
    <xdr:to>
      <xdr:col>1</xdr:col>
      <xdr:colOff>0</xdr:colOff>
      <xdr:row>7</xdr:row>
      <xdr:rowOff>85724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B95C34B-EC2D-44FE-BE26-ACC5AB14A846}"/>
            </a:ext>
          </a:extLst>
        </xdr:cNvPr>
        <xdr:cNvSpPr/>
      </xdr:nvSpPr>
      <xdr:spPr>
        <a:xfrm>
          <a:off x="981077" y="514349"/>
          <a:ext cx="1333498" cy="105727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ln>
                <a:noFill/>
              </a:ln>
              <a:solidFill>
                <a:schemeClr val="tx2">
                  <a:lumMod val="10000"/>
                  <a:lumOff val="9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EXO</a:t>
          </a:r>
        </a:p>
        <a:p>
          <a:pPr algn="l"/>
          <a:r>
            <a:rPr lang="pt-BR" sz="2000" b="1" baseline="0">
              <a:ln>
                <a:noFill/>
              </a:ln>
              <a:solidFill>
                <a:schemeClr val="tx2">
                  <a:lumMod val="10000"/>
                  <a:lumOff val="9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FISCAL</a:t>
          </a:r>
          <a:endParaRPr lang="pt-BR" sz="2000" b="1">
            <a:ln>
              <a:noFill/>
            </a:ln>
            <a:solidFill>
              <a:schemeClr val="tx2">
                <a:lumMod val="10000"/>
                <a:lumOff val="9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180975</xdr:rowOff>
    </xdr:from>
    <xdr:to>
      <xdr:col>0</xdr:col>
      <xdr:colOff>1447800</xdr:colOff>
      <xdr:row>5</xdr:row>
      <xdr:rowOff>171449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257E43-F474-48DE-AFFF-C257A4E0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"/>
          <a:ext cx="1447800" cy="1066799"/>
        </a:xfrm>
        <a:prstGeom prst="rect">
          <a:avLst/>
        </a:prstGeom>
      </xdr:spPr>
    </xdr:pic>
    <xdr:clientData/>
  </xdr:twoCellAnchor>
  <xdr:twoCellAnchor editAs="absolute">
    <xdr:from>
      <xdr:col>0</xdr:col>
      <xdr:colOff>225735</xdr:colOff>
      <xdr:row>8</xdr:row>
      <xdr:rowOff>85725</xdr:rowOff>
    </xdr:from>
    <xdr:to>
      <xdr:col>0</xdr:col>
      <xdr:colOff>2025960</xdr:colOff>
      <xdr:row>9</xdr:row>
      <xdr:rowOff>285750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EEF3D9-B4EA-4543-A36C-6DC5E6547F4E}"/>
            </a:ext>
          </a:extLst>
        </xdr:cNvPr>
        <xdr:cNvSpPr/>
      </xdr:nvSpPr>
      <xdr:spPr>
        <a:xfrm>
          <a:off x="225735" y="1762125"/>
          <a:ext cx="1800225" cy="390525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CONTRIBUINTE</a:t>
          </a:r>
        </a:p>
      </xdr:txBody>
    </xdr:sp>
    <xdr:clientData/>
  </xdr:twoCellAnchor>
  <xdr:twoCellAnchor>
    <xdr:from>
      <xdr:col>0</xdr:col>
      <xdr:colOff>219077</xdr:colOff>
      <xdr:row>21</xdr:row>
      <xdr:rowOff>19050</xdr:rowOff>
    </xdr:from>
    <xdr:to>
      <xdr:col>0</xdr:col>
      <xdr:colOff>2047877</xdr:colOff>
      <xdr:row>21</xdr:row>
      <xdr:rowOff>19050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40F0B4B1-6995-4352-BF8B-C59914C6910A}"/>
            </a:ext>
          </a:extLst>
        </xdr:cNvPr>
        <xdr:cNvCxnSpPr/>
      </xdr:nvCxnSpPr>
      <xdr:spPr>
        <a:xfrm>
          <a:off x="219077" y="4524375"/>
          <a:ext cx="1828800" cy="0"/>
        </a:xfrm>
        <a:prstGeom prst="line">
          <a:avLst/>
        </a:prstGeom>
        <a:ln w="6350">
          <a:solidFill>
            <a:srgbClr val="147D7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225735</xdr:colOff>
      <xdr:row>10</xdr:row>
      <xdr:rowOff>127000</xdr:rowOff>
    </xdr:from>
    <xdr:to>
      <xdr:col>0</xdr:col>
      <xdr:colOff>2025960</xdr:colOff>
      <xdr:row>12</xdr:row>
      <xdr:rowOff>98426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4AE40F-9C8F-4437-AAF6-6EF5542CDB24}"/>
            </a:ext>
          </a:extLst>
        </xdr:cNvPr>
        <xdr:cNvSpPr/>
      </xdr:nvSpPr>
      <xdr:spPr>
        <a:xfrm>
          <a:off x="225735" y="2327275"/>
          <a:ext cx="1800225" cy="390526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225735</xdr:colOff>
      <xdr:row>13</xdr:row>
      <xdr:rowOff>63501</xdr:rowOff>
    </xdr:from>
    <xdr:to>
      <xdr:col>0</xdr:col>
      <xdr:colOff>2025960</xdr:colOff>
      <xdr:row>15</xdr:row>
      <xdr:rowOff>34926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8F0227-3474-4AE6-95E7-573FB330B1EB}"/>
            </a:ext>
          </a:extLst>
        </xdr:cNvPr>
        <xdr:cNvSpPr/>
      </xdr:nvSpPr>
      <xdr:spPr>
        <a:xfrm>
          <a:off x="225735" y="2892426"/>
          <a:ext cx="1800225" cy="390525"/>
        </a:xfrm>
        <a:prstGeom prst="roundRect">
          <a:avLst>
            <a:gd name="adj" fmla="val 50000"/>
          </a:avLst>
        </a:prstGeom>
        <a:gradFill flip="none" rotWithShape="1">
          <a:gsLst>
            <a:gs pos="82000">
              <a:srgbClr val="125370">
                <a:lumMod val="100000"/>
              </a:srgbClr>
            </a:gs>
            <a:gs pos="46000">
              <a:srgbClr val="147D73"/>
            </a:gs>
            <a:gs pos="100000">
              <a:schemeClr val="accent1">
                <a:lumMod val="75000"/>
              </a:schemeClr>
            </a:gs>
          </a:gsLst>
          <a:path path="circle">
            <a:fillToRect l="50000" t="130000" r="50000" b="-30000"/>
          </a:path>
          <a:tileRect/>
        </a:gradFill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869950</xdr:colOff>
      <xdr:row>22</xdr:row>
      <xdr:rowOff>44450</xdr:rowOff>
    </xdr:from>
    <xdr:to>
      <xdr:col>0</xdr:col>
      <xdr:colOff>1215134</xdr:colOff>
      <xdr:row>23</xdr:row>
      <xdr:rowOff>146049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E222FD-BB45-42BD-A7B0-38B8064D3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4768850"/>
          <a:ext cx="345184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2447925</xdr:colOff>
      <xdr:row>27</xdr:row>
      <xdr:rowOff>95250</xdr:rowOff>
    </xdr:from>
    <xdr:to>
      <xdr:col>2</xdr:col>
      <xdr:colOff>2647950</xdr:colOff>
      <xdr:row>28</xdr:row>
      <xdr:rowOff>114300</xdr:rowOff>
    </xdr:to>
    <xdr:sp macro="" textlink="">
      <xdr:nvSpPr>
        <xdr:cNvPr id="12" name="Seta: para a Esquerda 11">
          <a:extLst>
            <a:ext uri="{FF2B5EF4-FFF2-40B4-BE49-F238E27FC236}">
              <a16:creationId xmlns:a16="http://schemas.microsoft.com/office/drawing/2014/main" id="{7836B111-203E-4120-8202-32A4D1F576DA}"/>
            </a:ext>
          </a:extLst>
        </xdr:cNvPr>
        <xdr:cNvSpPr/>
      </xdr:nvSpPr>
      <xdr:spPr>
        <a:xfrm>
          <a:off x="5248275" y="5029200"/>
          <a:ext cx="200025" cy="209550"/>
        </a:xfrm>
        <a:prstGeom prst="leftArrow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19050</xdr:colOff>
      <xdr:row>6</xdr:row>
      <xdr:rowOff>133350</xdr:rowOff>
    </xdr:from>
    <xdr:to>
      <xdr:col>3</xdr:col>
      <xdr:colOff>180975</xdr:colOff>
      <xdr:row>8</xdr:row>
      <xdr:rowOff>19050</xdr:rowOff>
    </xdr:to>
    <xdr:sp macro="" textlink="">
      <xdr:nvSpPr>
        <xdr:cNvPr id="13" name="Retângulo: Canto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80FD5A2-9DBC-493B-97E1-56519B087C5A}"/>
            </a:ext>
          </a:extLst>
        </xdr:cNvPr>
        <xdr:cNvSpPr/>
      </xdr:nvSpPr>
      <xdr:spPr>
        <a:xfrm>
          <a:off x="2819400" y="1428750"/>
          <a:ext cx="1600200" cy="26670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100000"/>
                <a:alpha val="95000"/>
              </a:schemeClr>
            </a:gs>
            <a:gs pos="33080">
              <a:srgbClr val="147D73"/>
            </a:gs>
            <a:gs pos="51177">
              <a:srgbClr val="087F7B"/>
            </a:gs>
            <a:gs pos="44075">
              <a:srgbClr val="087F7B"/>
            </a:gs>
            <a:gs pos="100000">
              <a:schemeClr val="accent1">
                <a:lumMod val="50000"/>
              </a:schemeClr>
            </a:gs>
          </a:gsLst>
          <a:lin ang="5400000" scaled="1"/>
        </a:gradFill>
        <a:ln>
          <a:gradFill>
            <a:gsLst>
              <a:gs pos="25210">
                <a:srgbClr val="147D73"/>
              </a:gs>
              <a:gs pos="14208">
                <a:srgbClr val="087F7B"/>
              </a:gs>
              <a:gs pos="6294">
                <a:srgbClr val="89C2C3"/>
              </a:gs>
              <a:gs pos="0">
                <a:schemeClr val="accent1">
                  <a:lumMod val="5000"/>
                  <a:lumOff val="95000"/>
                </a:schemeClr>
              </a:gs>
              <a:gs pos="33076">
                <a:srgbClr val="087F7B"/>
              </a:gs>
              <a:gs pos="51000">
                <a:srgbClr val="087F7B"/>
              </a:gs>
              <a:gs pos="83000">
                <a:srgbClr val="147D73"/>
              </a:gs>
              <a:gs pos="100000">
                <a:srgbClr val="087F7B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 baseline="0">
              <a:ln>
                <a:noFill/>
              </a:ln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r>
            <a:rPr lang="pt-BR" sz="1800" b="1" baseline="0">
              <a:ln>
                <a:noFill/>
              </a:ln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 b="1">
            <a:ln>
              <a:noFill/>
            </a:ln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295275</xdr:colOff>
      <xdr:row>7</xdr:row>
      <xdr:rowOff>19050</xdr:rowOff>
    </xdr:from>
    <xdr:to>
      <xdr:col>2</xdr:col>
      <xdr:colOff>438150</xdr:colOff>
      <xdr:row>7</xdr:row>
      <xdr:rowOff>171256</xdr:rowOff>
    </xdr:to>
    <xdr:sp macro="" textlink="">
      <xdr:nvSpPr>
        <xdr:cNvPr id="15" name="Seta: para a Esquerda 14">
          <a:extLst>
            <a:ext uri="{FF2B5EF4-FFF2-40B4-BE49-F238E27FC236}">
              <a16:creationId xmlns:a16="http://schemas.microsoft.com/office/drawing/2014/main" id="{D34F8A69-F8FC-434D-A02D-978895D8048A}"/>
            </a:ext>
          </a:extLst>
        </xdr:cNvPr>
        <xdr:cNvSpPr/>
      </xdr:nvSpPr>
      <xdr:spPr>
        <a:xfrm>
          <a:off x="3095625" y="1504950"/>
          <a:ext cx="142875" cy="152206"/>
        </a:xfrm>
        <a:prstGeom prst="leftArrow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2129400</xdr:colOff>
      <xdr:row>0</xdr:row>
      <xdr:rowOff>174113</xdr:rowOff>
    </xdr:from>
    <xdr:to>
      <xdr:col>5</xdr:col>
      <xdr:colOff>241605</xdr:colOff>
      <xdr:row>2</xdr:row>
      <xdr:rowOff>10241</xdr:rowOff>
    </xdr:to>
    <xdr:pic>
      <xdr:nvPicPr>
        <xdr:cNvPr id="16" name="Gráfico 15" descr="Filtro estrutura de tópicos">
          <a:extLst>
            <a:ext uri="{FF2B5EF4-FFF2-40B4-BE49-F238E27FC236}">
              <a16:creationId xmlns:a16="http://schemas.microsoft.com/office/drawing/2014/main" id="{AAD9FFD0-E8EB-45D6-8049-4736D06F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311250" y="174113"/>
          <a:ext cx="245805" cy="255228"/>
        </a:xfrm>
        <a:prstGeom prst="rect">
          <a:avLst/>
        </a:prstGeom>
      </xdr:spPr>
    </xdr:pic>
    <xdr:clientData/>
  </xdr:twoCellAnchor>
  <xdr:twoCellAnchor editAs="absolute">
    <xdr:from>
      <xdr:col>0</xdr:col>
      <xdr:colOff>225735</xdr:colOff>
      <xdr:row>16</xdr:row>
      <xdr:rowOff>0</xdr:rowOff>
    </xdr:from>
    <xdr:to>
      <xdr:col>0</xdr:col>
      <xdr:colOff>2025960</xdr:colOff>
      <xdr:row>17</xdr:row>
      <xdr:rowOff>180975</xdr:rowOff>
    </xdr:to>
    <xdr:sp macro="" textlink="">
      <xdr:nvSpPr>
        <xdr:cNvPr id="17" name="Retângulo: Cantos Arredondado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B36B24C-D068-4CFB-843D-FEE494CE4118}"/>
            </a:ext>
          </a:extLst>
        </xdr:cNvPr>
        <xdr:cNvSpPr/>
      </xdr:nvSpPr>
      <xdr:spPr>
        <a:xfrm>
          <a:off x="225735" y="3457575"/>
          <a:ext cx="1800225" cy="390525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RESUMO</a:t>
          </a:r>
        </a:p>
      </xdr:txBody>
    </xdr:sp>
    <xdr:clientData/>
  </xdr:twoCellAnchor>
  <xdr:twoCellAnchor editAs="absolute">
    <xdr:from>
      <xdr:col>4</xdr:col>
      <xdr:colOff>381000</xdr:colOff>
      <xdr:row>6</xdr:row>
      <xdr:rowOff>104775</xdr:rowOff>
    </xdr:from>
    <xdr:to>
      <xdr:col>4</xdr:col>
      <xdr:colOff>1981200</xdr:colOff>
      <xdr:row>7</xdr:row>
      <xdr:rowOff>180975</xdr:rowOff>
    </xdr:to>
    <xdr:sp macro="" textlink="">
      <xdr:nvSpPr>
        <xdr:cNvPr id="22" name="Retângulo: Cantos Arredondados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02DC436-5CAE-402B-AF4E-66F1D7918929}"/>
            </a:ext>
          </a:extLst>
        </xdr:cNvPr>
        <xdr:cNvSpPr/>
      </xdr:nvSpPr>
      <xdr:spPr>
        <a:xfrm>
          <a:off x="7172325" y="1400175"/>
          <a:ext cx="1600200" cy="26670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100000"/>
                <a:alpha val="95000"/>
              </a:schemeClr>
            </a:gs>
            <a:gs pos="33080">
              <a:srgbClr val="147D73"/>
            </a:gs>
            <a:gs pos="51177">
              <a:srgbClr val="087F7B"/>
            </a:gs>
            <a:gs pos="44075">
              <a:srgbClr val="087F7B"/>
            </a:gs>
            <a:gs pos="100000">
              <a:schemeClr val="accent1">
                <a:lumMod val="50000"/>
              </a:schemeClr>
            </a:gs>
          </a:gsLst>
          <a:lin ang="5400000" scaled="1"/>
        </a:gradFill>
        <a:ln>
          <a:gradFill>
            <a:gsLst>
              <a:gs pos="25210">
                <a:srgbClr val="147D73"/>
              </a:gs>
              <a:gs pos="14208">
                <a:srgbClr val="087F7B"/>
              </a:gs>
              <a:gs pos="6294">
                <a:srgbClr val="89C2C3"/>
              </a:gs>
              <a:gs pos="0">
                <a:schemeClr val="accent1">
                  <a:lumMod val="5000"/>
                  <a:lumOff val="95000"/>
                </a:schemeClr>
              </a:gs>
              <a:gs pos="33076">
                <a:srgbClr val="087F7B"/>
              </a:gs>
              <a:gs pos="51000">
                <a:srgbClr val="087F7B"/>
              </a:gs>
              <a:gs pos="83000">
                <a:srgbClr val="147D73"/>
              </a:gs>
              <a:gs pos="100000">
                <a:srgbClr val="087F7B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 baseline="0">
              <a:ln>
                <a:noFill/>
              </a:ln>
              <a:latin typeface="Segoe UI Light" panose="020B0502040204020203" pitchFamily="34" charset="0"/>
              <a:cs typeface="Segoe UI Light" panose="020B0502040204020203" pitchFamily="34" charset="0"/>
            </a:rPr>
            <a:t>RESUMO</a:t>
          </a:r>
          <a:r>
            <a:rPr lang="pt-BR" sz="1800" b="1" baseline="0">
              <a:ln>
                <a:noFill/>
              </a:ln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 b="1">
            <a:ln>
              <a:noFill/>
            </a:ln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1504950</xdr:colOff>
      <xdr:row>6</xdr:row>
      <xdr:rowOff>180975</xdr:rowOff>
    </xdr:from>
    <xdr:to>
      <xdr:col>4</xdr:col>
      <xdr:colOff>1647825</xdr:colOff>
      <xdr:row>7</xdr:row>
      <xdr:rowOff>152400</xdr:rowOff>
    </xdr:to>
    <xdr:sp macro="" textlink="">
      <xdr:nvSpPr>
        <xdr:cNvPr id="23" name="Seta: para a Direita 22">
          <a:extLst>
            <a:ext uri="{FF2B5EF4-FFF2-40B4-BE49-F238E27FC236}">
              <a16:creationId xmlns:a16="http://schemas.microsoft.com/office/drawing/2014/main" id="{0073C97B-7990-4DC7-B1F8-7104DE9F7882}"/>
            </a:ext>
          </a:extLst>
        </xdr:cNvPr>
        <xdr:cNvSpPr/>
      </xdr:nvSpPr>
      <xdr:spPr>
        <a:xfrm>
          <a:off x="8296275" y="1476375"/>
          <a:ext cx="142875" cy="161925"/>
        </a:xfrm>
        <a:prstGeom prst="righ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4736</xdr:colOff>
      <xdr:row>29</xdr:row>
      <xdr:rowOff>9330</xdr:rowOff>
    </xdr:from>
    <xdr:to>
      <xdr:col>5</xdr:col>
      <xdr:colOff>60158</xdr:colOff>
      <xdr:row>33</xdr:row>
      <xdr:rowOff>35248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0" name="DATA">
              <a:extLst>
                <a:ext uri="{FF2B5EF4-FFF2-40B4-BE49-F238E27FC236}">
                  <a16:creationId xmlns:a16="http://schemas.microsoft.com/office/drawing/2014/main" id="{E84C8AFF-1BE4-4379-0A9A-7A0FEE1984CC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2078" y="5804541"/>
              <a:ext cx="4898133" cy="7879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981077</xdr:colOff>
      <xdr:row>2</xdr:row>
      <xdr:rowOff>95249</xdr:rowOff>
    </xdr:from>
    <xdr:to>
      <xdr:col>1</xdr:col>
      <xdr:colOff>0</xdr:colOff>
      <xdr:row>7</xdr:row>
      <xdr:rowOff>85724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4D95EC2-63D4-4AE9-991A-7A102396A416}"/>
            </a:ext>
          </a:extLst>
        </xdr:cNvPr>
        <xdr:cNvSpPr/>
      </xdr:nvSpPr>
      <xdr:spPr>
        <a:xfrm>
          <a:off x="981077" y="514349"/>
          <a:ext cx="1333498" cy="105727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ln>
                <a:noFill/>
              </a:ln>
              <a:solidFill>
                <a:schemeClr val="tx2">
                  <a:lumMod val="10000"/>
                  <a:lumOff val="9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EXO</a:t>
          </a:r>
        </a:p>
        <a:p>
          <a:pPr algn="l"/>
          <a:r>
            <a:rPr lang="pt-BR" sz="2000" b="1" baseline="0">
              <a:ln>
                <a:noFill/>
              </a:ln>
              <a:solidFill>
                <a:schemeClr val="tx2">
                  <a:lumMod val="10000"/>
                  <a:lumOff val="9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FISCAL</a:t>
          </a:r>
          <a:endParaRPr lang="pt-BR" sz="2000" b="1">
            <a:ln>
              <a:noFill/>
            </a:ln>
            <a:solidFill>
              <a:schemeClr val="tx2">
                <a:lumMod val="10000"/>
                <a:lumOff val="9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180975</xdr:rowOff>
    </xdr:from>
    <xdr:to>
      <xdr:col>0</xdr:col>
      <xdr:colOff>1447800</xdr:colOff>
      <xdr:row>5</xdr:row>
      <xdr:rowOff>171449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E73846-6CCB-4B8F-9CCA-399243065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"/>
          <a:ext cx="1447800" cy="1066799"/>
        </a:xfrm>
        <a:prstGeom prst="rect">
          <a:avLst/>
        </a:prstGeom>
      </xdr:spPr>
    </xdr:pic>
    <xdr:clientData/>
  </xdr:twoCellAnchor>
  <xdr:twoCellAnchor editAs="absolute">
    <xdr:from>
      <xdr:col>0</xdr:col>
      <xdr:colOff>222870</xdr:colOff>
      <xdr:row>8</xdr:row>
      <xdr:rowOff>66675</xdr:rowOff>
    </xdr:from>
    <xdr:to>
      <xdr:col>0</xdr:col>
      <xdr:colOff>2023095</xdr:colOff>
      <xdr:row>10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D608BF-9FE0-40B3-9B16-2408D4362C05}"/>
            </a:ext>
          </a:extLst>
        </xdr:cNvPr>
        <xdr:cNvSpPr/>
      </xdr:nvSpPr>
      <xdr:spPr>
        <a:xfrm>
          <a:off x="222870" y="1762125"/>
          <a:ext cx="1800225" cy="390525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CONTRIBUINTE</a:t>
          </a:r>
        </a:p>
      </xdr:txBody>
    </xdr:sp>
    <xdr:clientData/>
  </xdr:twoCellAnchor>
  <xdr:twoCellAnchor editAs="absolute">
    <xdr:from>
      <xdr:col>0</xdr:col>
      <xdr:colOff>222870</xdr:colOff>
      <xdr:row>11</xdr:row>
      <xdr:rowOff>4762</xdr:rowOff>
    </xdr:from>
    <xdr:to>
      <xdr:col>0</xdr:col>
      <xdr:colOff>2023095</xdr:colOff>
      <xdr:row>13</xdr:row>
      <xdr:rowOff>23813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933C5B-0951-490F-AF5F-A57A1A4B03C0}"/>
            </a:ext>
          </a:extLst>
        </xdr:cNvPr>
        <xdr:cNvSpPr/>
      </xdr:nvSpPr>
      <xdr:spPr>
        <a:xfrm>
          <a:off x="222870" y="2309812"/>
          <a:ext cx="1800225" cy="390526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222870</xdr:colOff>
      <xdr:row>13</xdr:row>
      <xdr:rowOff>180975</xdr:rowOff>
    </xdr:from>
    <xdr:to>
      <xdr:col>0</xdr:col>
      <xdr:colOff>2023095</xdr:colOff>
      <xdr:row>15</xdr:row>
      <xdr:rowOff>190500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5015F2-71D3-4216-96AF-CDDD9B87257C}"/>
            </a:ext>
          </a:extLst>
        </xdr:cNvPr>
        <xdr:cNvSpPr/>
      </xdr:nvSpPr>
      <xdr:spPr>
        <a:xfrm>
          <a:off x="222870" y="2857500"/>
          <a:ext cx="1800225" cy="390525"/>
        </a:xfrm>
        <a:prstGeom prst="roundRect">
          <a:avLst>
            <a:gd name="adj" fmla="val 50000"/>
          </a:avLst>
        </a:prstGeom>
        <a:noFill/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879976</xdr:colOff>
      <xdr:row>24</xdr:row>
      <xdr:rowOff>37932</xdr:rowOff>
    </xdr:from>
    <xdr:to>
      <xdr:col>0</xdr:col>
      <xdr:colOff>1225160</xdr:colOff>
      <xdr:row>25</xdr:row>
      <xdr:rowOff>158581</xdr:rowOff>
    </xdr:to>
    <xdr:pic>
      <xdr:nvPicPr>
        <xdr:cNvPr id="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D4CF99-2B14-4C9D-97EC-6D9CA5605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976" y="4880643"/>
          <a:ext cx="345184" cy="31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</xdr:colOff>
      <xdr:row>12</xdr:row>
      <xdr:rowOff>104775</xdr:rowOff>
    </xdr:from>
    <xdr:to>
      <xdr:col>3</xdr:col>
      <xdr:colOff>19050</xdr:colOff>
      <xdr:row>13</xdr:row>
      <xdr:rowOff>114300</xdr:rowOff>
    </xdr:to>
    <xdr:sp macro="" textlink="">
      <xdr:nvSpPr>
        <xdr:cNvPr id="9" name="Seta: para a Esquerda 8">
          <a:extLst>
            <a:ext uri="{FF2B5EF4-FFF2-40B4-BE49-F238E27FC236}">
              <a16:creationId xmlns:a16="http://schemas.microsoft.com/office/drawing/2014/main" id="{173FB285-D262-4BA8-8CE9-2E4B43469096}"/>
            </a:ext>
          </a:extLst>
        </xdr:cNvPr>
        <xdr:cNvSpPr/>
      </xdr:nvSpPr>
      <xdr:spPr>
        <a:xfrm>
          <a:off x="4257675" y="2590800"/>
          <a:ext cx="0" cy="200025"/>
        </a:xfrm>
        <a:prstGeom prst="leftArrow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295275</xdr:colOff>
      <xdr:row>7</xdr:row>
      <xdr:rowOff>19050</xdr:rowOff>
    </xdr:from>
    <xdr:to>
      <xdr:col>2</xdr:col>
      <xdr:colOff>438150</xdr:colOff>
      <xdr:row>7</xdr:row>
      <xdr:rowOff>171256</xdr:rowOff>
    </xdr:to>
    <xdr:sp macro="" textlink="">
      <xdr:nvSpPr>
        <xdr:cNvPr id="11" name="Seta: para a Esquerda 10">
          <a:extLst>
            <a:ext uri="{FF2B5EF4-FFF2-40B4-BE49-F238E27FC236}">
              <a16:creationId xmlns:a16="http://schemas.microsoft.com/office/drawing/2014/main" id="{8A315D83-36BD-4565-B0EA-41FDB8E038A3}"/>
            </a:ext>
          </a:extLst>
        </xdr:cNvPr>
        <xdr:cNvSpPr/>
      </xdr:nvSpPr>
      <xdr:spPr>
        <a:xfrm>
          <a:off x="3095625" y="1504950"/>
          <a:ext cx="142875" cy="152206"/>
        </a:xfrm>
        <a:prstGeom prst="leftArrow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2129400</xdr:colOff>
      <xdr:row>0</xdr:row>
      <xdr:rowOff>174113</xdr:rowOff>
    </xdr:from>
    <xdr:to>
      <xdr:col>5</xdr:col>
      <xdr:colOff>241605</xdr:colOff>
      <xdr:row>2</xdr:row>
      <xdr:rowOff>10241</xdr:rowOff>
    </xdr:to>
    <xdr:pic>
      <xdr:nvPicPr>
        <xdr:cNvPr id="12" name="Gráfico 11" descr="Filtro estrutura de tópicos">
          <a:extLst>
            <a:ext uri="{FF2B5EF4-FFF2-40B4-BE49-F238E27FC236}">
              <a16:creationId xmlns:a16="http://schemas.microsoft.com/office/drawing/2014/main" id="{5D71A124-22F0-40D8-AC3C-302C96E40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777850" y="174113"/>
          <a:ext cx="245805" cy="255228"/>
        </a:xfrm>
        <a:prstGeom prst="rect">
          <a:avLst/>
        </a:prstGeom>
      </xdr:spPr>
    </xdr:pic>
    <xdr:clientData/>
  </xdr:twoCellAnchor>
  <xdr:twoCellAnchor editAs="absolute">
    <xdr:from>
      <xdr:col>0</xdr:col>
      <xdr:colOff>228600</xdr:colOff>
      <xdr:row>16</xdr:row>
      <xdr:rowOff>190500</xdr:rowOff>
    </xdr:from>
    <xdr:to>
      <xdr:col>0</xdr:col>
      <xdr:colOff>2028825</xdr:colOff>
      <xdr:row>18</xdr:row>
      <xdr:rowOff>179972</xdr:rowOff>
    </xdr:to>
    <xdr:sp macro="" textlink="">
      <xdr:nvSpPr>
        <xdr:cNvPr id="13" name="Retângulo: Cantos Arredondado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1B0960-6D54-40A2-B878-B30F18DB271B}"/>
            </a:ext>
          </a:extLst>
        </xdr:cNvPr>
        <xdr:cNvSpPr/>
      </xdr:nvSpPr>
      <xdr:spPr>
        <a:xfrm>
          <a:off x="228600" y="3457575"/>
          <a:ext cx="1800225" cy="390525"/>
        </a:xfrm>
        <a:prstGeom prst="roundRect">
          <a:avLst>
            <a:gd name="adj" fmla="val 50000"/>
          </a:avLst>
        </a:prstGeom>
        <a:gradFill>
          <a:gsLst>
            <a:gs pos="20000">
              <a:srgbClr val="147D73">
                <a:lumMod val="96000"/>
              </a:srgbClr>
            </a:gs>
            <a:gs pos="83000">
              <a:schemeClr val="accent1">
                <a:lumMod val="75000"/>
              </a:schemeClr>
            </a:gs>
            <a:gs pos="100000">
              <a:schemeClr val="accent1">
                <a:lumMod val="50000"/>
              </a:schemeClr>
            </a:gs>
          </a:gsLst>
          <a:lin ang="5400000" scaled="1"/>
        </a:gradFill>
        <a:ln>
          <a:gradFill>
            <a:gsLst>
              <a:gs pos="20000">
                <a:srgbClr val="147D73">
                  <a:lumMod val="96000"/>
                </a:srgbClr>
              </a:gs>
              <a:gs pos="83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etal"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RESUMO</a:t>
          </a:r>
        </a:p>
      </xdr:txBody>
    </xdr:sp>
    <xdr:clientData/>
  </xdr:twoCellAnchor>
  <xdr:twoCellAnchor>
    <xdr:from>
      <xdr:col>3</xdr:col>
      <xdr:colOff>411079</xdr:colOff>
      <xdr:row>6</xdr:row>
      <xdr:rowOff>120316</xdr:rowOff>
    </xdr:from>
    <xdr:to>
      <xdr:col>4</xdr:col>
      <xdr:colOff>380842</xdr:colOff>
      <xdr:row>10</xdr:row>
      <xdr:rowOff>18158</xdr:rowOff>
    </xdr:to>
    <xdr:sp macro="" textlink="APOIO!I3">
      <xdr:nvSpPr>
        <xdr:cNvPr id="5" name="Retângulo: Cantos Arredondados 4">
          <a:extLst>
            <a:ext uri="{FF2B5EF4-FFF2-40B4-BE49-F238E27FC236}">
              <a16:creationId xmlns:a16="http://schemas.microsoft.com/office/drawing/2014/main" id="{93047197-26D9-69E0-44B2-25E0DEB09C68}"/>
            </a:ext>
          </a:extLst>
        </xdr:cNvPr>
        <xdr:cNvSpPr/>
      </xdr:nvSpPr>
      <xdr:spPr>
        <a:xfrm>
          <a:off x="4441658" y="1413711"/>
          <a:ext cx="1584000" cy="720000"/>
        </a:xfrm>
        <a:prstGeom prst="roundRect">
          <a:avLst/>
        </a:prstGeom>
        <a:solidFill>
          <a:srgbClr val="125370"/>
        </a:solidFill>
        <a:ln w="28575">
          <a:solidFill>
            <a:srgbClr val="147D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AAA91550-3903-476A-941C-E3DC6324FCF1}" type="TxLink">
            <a:rPr lang="en-US" sz="1100" b="1" i="0" u="none" strike="noStrike">
              <a:solidFill>
                <a:schemeClr val="bg1"/>
              </a:solidFill>
              <a:latin typeface="Segoe UI Light"/>
              <a:ea typeface="+mn-ea"/>
              <a:cs typeface="Segoe UI Light"/>
            </a:rPr>
            <a:t>R$ 140.000,00</a:t>
          </a:fld>
          <a:endParaRPr lang="en-US" sz="12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446171</xdr:colOff>
      <xdr:row>10</xdr:row>
      <xdr:rowOff>75196</xdr:rowOff>
    </xdr:from>
    <xdr:to>
      <xdr:col>3</xdr:col>
      <xdr:colOff>315671</xdr:colOff>
      <xdr:row>14</xdr:row>
      <xdr:rowOff>43223</xdr:rowOff>
    </xdr:to>
    <xdr:sp macro="" textlink="APOIO!I5">
      <xdr:nvSpPr>
        <xdr:cNvPr id="10" name="Retângulo: Cantos Arredondados 9">
          <a:extLst>
            <a:ext uri="{FF2B5EF4-FFF2-40B4-BE49-F238E27FC236}">
              <a16:creationId xmlns:a16="http://schemas.microsoft.com/office/drawing/2014/main" id="{9386744C-CAB1-C49D-7BD9-075C5E48E8AD}"/>
            </a:ext>
          </a:extLst>
        </xdr:cNvPr>
        <xdr:cNvSpPr/>
      </xdr:nvSpPr>
      <xdr:spPr>
        <a:xfrm>
          <a:off x="2762250" y="2190749"/>
          <a:ext cx="1584000" cy="720000"/>
        </a:xfrm>
        <a:prstGeom prst="roundRect">
          <a:avLst/>
        </a:prstGeom>
        <a:solidFill>
          <a:srgbClr val="125370"/>
        </a:solidFill>
        <a:ln w="28575">
          <a:solidFill>
            <a:srgbClr val="147D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7312EF3D-3F11-4852-9A5E-41C7C2DD037F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Segoe UI" panose="020B0502040204020203" pitchFamily="34" charset="0"/>
            </a:rPr>
            <a:t>3</a:t>
          </a:fld>
          <a:endParaRPr lang="pt-BR" sz="12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456197</xdr:colOff>
      <xdr:row>6</xdr:row>
      <xdr:rowOff>120316</xdr:rowOff>
    </xdr:from>
    <xdr:to>
      <xdr:col>3</xdr:col>
      <xdr:colOff>325697</xdr:colOff>
      <xdr:row>10</xdr:row>
      <xdr:rowOff>18158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E2F2E166-1C4F-9D70-99B5-CBB2DC806D23}"/>
            </a:ext>
          </a:extLst>
        </xdr:cNvPr>
        <xdr:cNvSpPr/>
      </xdr:nvSpPr>
      <xdr:spPr>
        <a:xfrm>
          <a:off x="2772276" y="1413711"/>
          <a:ext cx="1584000" cy="720000"/>
        </a:xfrm>
        <a:prstGeom prst="roundRect">
          <a:avLst/>
        </a:prstGeom>
        <a:solidFill>
          <a:srgbClr val="125370"/>
        </a:solidFill>
        <a:ln w="28575">
          <a:solidFill>
            <a:srgbClr val="147D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n-US"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401052</xdr:colOff>
      <xdr:row>10</xdr:row>
      <xdr:rowOff>75196</xdr:rowOff>
    </xdr:from>
    <xdr:to>
      <xdr:col>4</xdr:col>
      <xdr:colOff>370815</xdr:colOff>
      <xdr:row>14</xdr:row>
      <xdr:rowOff>43223</xdr:rowOff>
    </xdr:to>
    <xdr:sp macro="" textlink="APOIO!I6">
      <xdr:nvSpPr>
        <xdr:cNvPr id="16" name="Retângulo: Cantos Arredondados 15">
          <a:extLst>
            <a:ext uri="{FF2B5EF4-FFF2-40B4-BE49-F238E27FC236}">
              <a16:creationId xmlns:a16="http://schemas.microsoft.com/office/drawing/2014/main" id="{9423B95D-0706-4CE3-8392-A2CAC44C0E80}"/>
            </a:ext>
          </a:extLst>
        </xdr:cNvPr>
        <xdr:cNvSpPr/>
      </xdr:nvSpPr>
      <xdr:spPr>
        <a:xfrm>
          <a:off x="4431631" y="2190749"/>
          <a:ext cx="1584000" cy="720000"/>
        </a:xfrm>
        <a:prstGeom prst="roundRect">
          <a:avLst/>
        </a:prstGeom>
        <a:solidFill>
          <a:srgbClr val="125370"/>
        </a:solidFill>
        <a:ln w="28575">
          <a:solidFill>
            <a:srgbClr val="147D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C3B72BF2-2FDA-4973-A696-5E45AD3B380B}" type="TxLink">
            <a:rPr lang="en-US" sz="1100" b="1" i="0" u="none" strike="noStrike">
              <a:solidFill>
                <a:schemeClr val="bg1"/>
              </a:solidFill>
              <a:latin typeface="Segoe UI Light"/>
              <a:ea typeface="+mn-ea"/>
              <a:cs typeface="Segoe UI Light"/>
            </a:rPr>
            <a:t>5</a:t>
          </a:fld>
          <a:endParaRPr lang="pt-BR" sz="12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466225</xdr:colOff>
      <xdr:row>6</xdr:row>
      <xdr:rowOff>120316</xdr:rowOff>
    </xdr:from>
    <xdr:to>
      <xdr:col>5</xdr:col>
      <xdr:colOff>54988</xdr:colOff>
      <xdr:row>10</xdr:row>
      <xdr:rowOff>18158</xdr:rowOff>
    </xdr:to>
    <xdr:sp macro="" textlink="APOIO!I4">
      <xdr:nvSpPr>
        <xdr:cNvPr id="17" name="Retângulo: Cantos Arredondados 16">
          <a:extLst>
            <a:ext uri="{FF2B5EF4-FFF2-40B4-BE49-F238E27FC236}">
              <a16:creationId xmlns:a16="http://schemas.microsoft.com/office/drawing/2014/main" id="{9BB4861A-896D-4480-B484-483140B3078B}"/>
            </a:ext>
          </a:extLst>
        </xdr:cNvPr>
        <xdr:cNvSpPr/>
      </xdr:nvSpPr>
      <xdr:spPr>
        <a:xfrm>
          <a:off x="6111041" y="1413711"/>
          <a:ext cx="1584000" cy="720000"/>
        </a:xfrm>
        <a:prstGeom prst="roundRect">
          <a:avLst/>
        </a:prstGeom>
        <a:solidFill>
          <a:srgbClr val="125370"/>
        </a:solidFill>
        <a:ln w="28575">
          <a:solidFill>
            <a:srgbClr val="147D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E6629992-8F42-4FFF-B2B4-C5F203F891D8}" type="TxLink">
            <a:rPr lang="en-US" sz="1100" b="1" i="0" u="none" strike="noStrike">
              <a:solidFill>
                <a:schemeClr val="bg1"/>
              </a:solidFill>
              <a:latin typeface="Segoe UI Light"/>
              <a:ea typeface="+mn-ea"/>
              <a:cs typeface="Segoe UI Light"/>
            </a:rPr>
            <a:t>R$ 13.500,00</a:t>
          </a:fld>
          <a:endParaRPr lang="en-US" sz="12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456197</xdr:colOff>
      <xdr:row>10</xdr:row>
      <xdr:rowOff>75196</xdr:rowOff>
    </xdr:from>
    <xdr:to>
      <xdr:col>5</xdr:col>
      <xdr:colOff>44960</xdr:colOff>
      <xdr:row>14</xdr:row>
      <xdr:rowOff>43223</xdr:rowOff>
    </xdr:to>
    <xdr:sp macro="" textlink="APOIO!$I$7">
      <xdr:nvSpPr>
        <xdr:cNvPr id="18" name="Retângulo: Cantos Arredondados 17">
          <a:extLst>
            <a:ext uri="{FF2B5EF4-FFF2-40B4-BE49-F238E27FC236}">
              <a16:creationId xmlns:a16="http://schemas.microsoft.com/office/drawing/2014/main" id="{15C6F176-66AD-4CE8-A8BC-0C815ED0F52F}"/>
            </a:ext>
          </a:extLst>
        </xdr:cNvPr>
        <xdr:cNvSpPr/>
      </xdr:nvSpPr>
      <xdr:spPr>
        <a:xfrm>
          <a:off x="6101013" y="2190749"/>
          <a:ext cx="1584000" cy="720000"/>
        </a:xfrm>
        <a:prstGeom prst="roundRect">
          <a:avLst/>
        </a:prstGeom>
        <a:solidFill>
          <a:srgbClr val="125370"/>
        </a:solidFill>
        <a:ln w="28575">
          <a:solidFill>
            <a:srgbClr val="147D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ACC33F00-E548-4BEA-AD9A-40C725DAACCB}" type="TxLink">
            <a:rPr lang="en-US" sz="12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3</a:t>
          </a:fld>
          <a:endParaRPr lang="pt-BR" sz="12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401053</xdr:colOff>
      <xdr:row>7</xdr:row>
      <xdr:rowOff>90236</xdr:rowOff>
    </xdr:from>
    <xdr:to>
      <xdr:col>3</xdr:col>
      <xdr:colOff>401053</xdr:colOff>
      <xdr:row>9</xdr:row>
      <xdr:rowOff>110289</xdr:rowOff>
    </xdr:to>
    <xdr:sp macro="" textlink="APOIO!I8">
      <xdr:nvSpPr>
        <xdr:cNvPr id="19" name="CaixaDeTexto 18">
          <a:extLst>
            <a:ext uri="{FF2B5EF4-FFF2-40B4-BE49-F238E27FC236}">
              <a16:creationId xmlns:a16="http://schemas.microsoft.com/office/drawing/2014/main" id="{D97CBD6C-2DA7-8B22-5BBB-466C451586F8}"/>
            </a:ext>
          </a:extLst>
        </xdr:cNvPr>
        <xdr:cNvSpPr txBox="1"/>
      </xdr:nvSpPr>
      <xdr:spPr>
        <a:xfrm>
          <a:off x="2717132" y="1574131"/>
          <a:ext cx="1714500" cy="441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D72EFF-CD01-4F12-AD02-355A73D60E3E}" type="TxLink">
            <a:rPr lang="en-US" sz="1050" b="1" i="0" u="none" strike="noStrike">
              <a:solidFill>
                <a:schemeClr val="bg1"/>
              </a:solidFill>
              <a:latin typeface="Segoe UI Light"/>
              <a:cs typeface="Segoe UI Light"/>
            </a:rPr>
            <a:t>PRONTO PARA REVISÃO</a:t>
          </a:fld>
          <a:endParaRPr lang="pt-BR" sz="105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oneCellAnchor>
    <xdr:from>
      <xdr:col>2</xdr:col>
      <xdr:colOff>240633</xdr:colOff>
      <xdr:row>6</xdr:row>
      <xdr:rowOff>120315</xdr:rowOff>
    </xdr:from>
    <xdr:ext cx="1153025" cy="284309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138D38B8-14B3-4C1E-B405-6EFDCA678CB7}"/>
            </a:ext>
          </a:extLst>
        </xdr:cNvPr>
        <xdr:cNvSpPr txBox="1"/>
      </xdr:nvSpPr>
      <xdr:spPr>
        <a:xfrm>
          <a:off x="3037975" y="1413710"/>
          <a:ext cx="1153025" cy="2843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 i="0" u="none" strike="noStrike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Status</a:t>
          </a:r>
          <a:r>
            <a:rPr lang="pt-BR" sz="1100"/>
            <a:t> </a:t>
          </a:r>
          <a:r>
            <a:rPr lang="pt-BR" sz="1100" b="1" i="0" u="none" strike="noStrike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geral</a:t>
          </a:r>
        </a:p>
      </xdr:txBody>
    </xdr:sp>
    <xdr:clientData/>
  </xdr:oneCellAnchor>
  <xdr:twoCellAnchor>
    <xdr:from>
      <xdr:col>3</xdr:col>
      <xdr:colOff>626643</xdr:colOff>
      <xdr:row>6</xdr:row>
      <xdr:rowOff>120315</xdr:rowOff>
    </xdr:from>
    <xdr:to>
      <xdr:col>4</xdr:col>
      <xdr:colOff>295775</xdr:colOff>
      <xdr:row>8</xdr:row>
      <xdr:rowOff>40105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310DC619-A7E3-B1D0-EA42-0AC32DADF7CF}"/>
            </a:ext>
          </a:extLst>
        </xdr:cNvPr>
        <xdr:cNvSpPr txBox="1">
          <a:spLocks noChangeArrowheads="1"/>
        </xdr:cNvSpPr>
      </xdr:nvSpPr>
      <xdr:spPr bwMode="auto">
        <a:xfrm>
          <a:off x="4657222" y="1413710"/>
          <a:ext cx="1283369" cy="320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1" i="0" u="none" strike="noStrike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dos saldos</a:t>
          </a:r>
        </a:p>
      </xdr:txBody>
    </xdr:sp>
    <xdr:clientData/>
  </xdr:twoCellAnchor>
  <xdr:twoCellAnchor>
    <xdr:from>
      <xdr:col>4</xdr:col>
      <xdr:colOff>531394</xdr:colOff>
      <xdr:row>6</xdr:row>
      <xdr:rowOff>120315</xdr:rowOff>
    </xdr:from>
    <xdr:to>
      <xdr:col>5</xdr:col>
      <xdr:colOff>110288</xdr:colOff>
      <xdr:row>8</xdr:row>
      <xdr:rowOff>40105</xdr:rowOff>
    </xdr:to>
    <xdr:sp macro="" textlink="">
      <xdr:nvSpPr>
        <xdr:cNvPr id="22" name="Text Box 6">
          <a:extLst>
            <a:ext uri="{FF2B5EF4-FFF2-40B4-BE49-F238E27FC236}">
              <a16:creationId xmlns:a16="http://schemas.microsoft.com/office/drawing/2014/main" id="{0F2FD3CC-9255-4303-BDEF-69F887462FA4}"/>
            </a:ext>
          </a:extLst>
        </xdr:cNvPr>
        <xdr:cNvSpPr txBox="1">
          <a:spLocks noChangeArrowheads="1"/>
        </xdr:cNvSpPr>
      </xdr:nvSpPr>
      <xdr:spPr bwMode="auto">
        <a:xfrm>
          <a:off x="6176210" y="1413710"/>
          <a:ext cx="1574131" cy="320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1" i="0" u="none" strike="noStrike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de rendimentos</a:t>
          </a:r>
        </a:p>
      </xdr:txBody>
    </xdr:sp>
    <xdr:clientData/>
  </xdr:twoCellAnchor>
  <xdr:twoCellAnchor>
    <xdr:from>
      <xdr:col>3</xdr:col>
      <xdr:colOff>396040</xdr:colOff>
      <xdr:row>10</xdr:row>
      <xdr:rowOff>52136</xdr:rowOff>
    </xdr:from>
    <xdr:to>
      <xdr:col>4</xdr:col>
      <xdr:colOff>546435</xdr:colOff>
      <xdr:row>12</xdr:row>
      <xdr:rowOff>2005</xdr:rowOff>
    </xdr:to>
    <xdr:sp macro="" textlink="">
      <xdr:nvSpPr>
        <xdr:cNvPr id="23" name="Text Box 6">
          <a:extLst>
            <a:ext uri="{FF2B5EF4-FFF2-40B4-BE49-F238E27FC236}">
              <a16:creationId xmlns:a16="http://schemas.microsoft.com/office/drawing/2014/main" id="{F42B9252-29F5-45CA-B779-1B343500A0C9}"/>
            </a:ext>
          </a:extLst>
        </xdr:cNvPr>
        <xdr:cNvSpPr txBox="1">
          <a:spLocks noChangeArrowheads="1"/>
        </xdr:cNvSpPr>
      </xdr:nvSpPr>
      <xdr:spPr bwMode="auto">
        <a:xfrm>
          <a:off x="4426619" y="2167689"/>
          <a:ext cx="1764632" cy="320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1" i="0" u="none" strike="noStrike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 realizados</a:t>
          </a:r>
        </a:p>
      </xdr:txBody>
    </xdr:sp>
    <xdr:clientData/>
  </xdr:twoCellAnchor>
  <xdr:twoCellAnchor>
    <xdr:from>
      <xdr:col>4</xdr:col>
      <xdr:colOff>461212</xdr:colOff>
      <xdr:row>10</xdr:row>
      <xdr:rowOff>52136</xdr:rowOff>
    </xdr:from>
    <xdr:to>
      <xdr:col>5</xdr:col>
      <xdr:colOff>190500</xdr:colOff>
      <xdr:row>12</xdr:row>
      <xdr:rowOff>2005</xdr:rowOff>
    </xdr:to>
    <xdr:sp macro="" textlink="">
      <xdr:nvSpPr>
        <xdr:cNvPr id="24" name="Text Box 6">
          <a:extLst>
            <a:ext uri="{FF2B5EF4-FFF2-40B4-BE49-F238E27FC236}">
              <a16:creationId xmlns:a16="http://schemas.microsoft.com/office/drawing/2014/main" id="{D2A81F95-89CD-4A39-BE61-40D53577CF57}"/>
            </a:ext>
          </a:extLst>
        </xdr:cNvPr>
        <xdr:cNvSpPr txBox="1">
          <a:spLocks noChangeArrowheads="1"/>
        </xdr:cNvSpPr>
      </xdr:nvSpPr>
      <xdr:spPr bwMode="auto">
        <a:xfrm>
          <a:off x="6106028" y="2167689"/>
          <a:ext cx="1724525" cy="320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1" i="0" u="none" strike="noStrike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Documentos anexados</a:t>
          </a:r>
        </a:p>
      </xdr:txBody>
    </xdr:sp>
    <xdr:clientData/>
  </xdr:twoCellAnchor>
  <xdr:twoCellAnchor>
    <xdr:from>
      <xdr:col>2</xdr:col>
      <xdr:colOff>101264</xdr:colOff>
      <xdr:row>10</xdr:row>
      <xdr:rowOff>52136</xdr:rowOff>
    </xdr:from>
    <xdr:to>
      <xdr:col>3</xdr:col>
      <xdr:colOff>308027</xdr:colOff>
      <xdr:row>12</xdr:row>
      <xdr:rowOff>2005</xdr:rowOff>
    </xdr:to>
    <xdr:sp macro="" textlink="">
      <xdr:nvSpPr>
        <xdr:cNvPr id="25" name="Text Box 6">
          <a:extLst>
            <a:ext uri="{FF2B5EF4-FFF2-40B4-BE49-F238E27FC236}">
              <a16:creationId xmlns:a16="http://schemas.microsoft.com/office/drawing/2014/main" id="{CD73FEE0-520E-42D3-85E6-4A75237D7146}"/>
            </a:ext>
          </a:extLst>
        </xdr:cNvPr>
        <xdr:cNvSpPr txBox="1">
          <a:spLocks noChangeArrowheads="1"/>
        </xdr:cNvSpPr>
      </xdr:nvSpPr>
      <xdr:spPr bwMode="auto">
        <a:xfrm>
          <a:off x="2898606" y="2167689"/>
          <a:ext cx="1440000" cy="320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200" b="1" i="0" u="none" strike="noStrike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Bancos</a:t>
          </a:r>
          <a:r>
            <a:rPr lang="pt-BR" sz="1000" b="0" i="0" u="none" strike="noStrike">
              <a:effectLst/>
              <a:latin typeface="+mn-lt"/>
              <a:ea typeface="+mn-ea"/>
              <a:cs typeface="+mn-cs"/>
            </a:rPr>
            <a:t> </a:t>
          </a:r>
          <a:r>
            <a:rPr lang="pt-BR" sz="1100" b="1" i="0" u="none" strike="noStrike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cadastrados</a:t>
          </a:r>
          <a:r>
            <a:rPr lang="pt-BR" sz="1200">
              <a:effectLst/>
            </a:rPr>
            <a:t> </a:t>
          </a:r>
          <a:endParaRPr lang="pt-BR" sz="1200" b="1" i="0" u="none" strike="noStrike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23561</xdr:colOff>
      <xdr:row>17</xdr:row>
      <xdr:rowOff>10026</xdr:rowOff>
    </xdr:from>
    <xdr:to>
      <xdr:col>3</xdr:col>
      <xdr:colOff>1243263</xdr:colOff>
      <xdr:row>29</xdr:row>
      <xdr:rowOff>30078</xdr:rowOff>
    </xdr:to>
    <xdr:graphicFrame macro="">
      <xdr:nvGraphicFramePr>
        <xdr:cNvPr id="28" name="Gráfico 5">
          <a:extLst>
            <a:ext uri="{FF2B5EF4-FFF2-40B4-BE49-F238E27FC236}">
              <a16:creationId xmlns:a16="http://schemas.microsoft.com/office/drawing/2014/main" id="{9FA3ADD5-1F57-CBEC-2234-E0A2C08D4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219077</xdr:colOff>
      <xdr:row>23</xdr:row>
      <xdr:rowOff>19050</xdr:rowOff>
    </xdr:from>
    <xdr:to>
      <xdr:col>0</xdr:col>
      <xdr:colOff>2047877</xdr:colOff>
      <xdr:row>23</xdr:row>
      <xdr:rowOff>19050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29A15728-134F-4F2C-B99C-2CC7CF731A47}"/>
            </a:ext>
          </a:extLst>
        </xdr:cNvPr>
        <xdr:cNvCxnSpPr/>
      </xdr:nvCxnSpPr>
      <xdr:spPr>
        <a:xfrm>
          <a:off x="219077" y="4524375"/>
          <a:ext cx="1828800" cy="0"/>
        </a:xfrm>
        <a:prstGeom prst="line">
          <a:avLst/>
        </a:prstGeom>
        <a:ln w="6350">
          <a:solidFill>
            <a:srgbClr val="147D7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441159</xdr:colOff>
      <xdr:row>17</xdr:row>
      <xdr:rowOff>70181</xdr:rowOff>
    </xdr:from>
    <xdr:to>
      <xdr:col>3</xdr:col>
      <xdr:colOff>461210</xdr:colOff>
      <xdr:row>18</xdr:row>
      <xdr:rowOff>170446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C2F1E045-AC41-3825-AD7E-96B3906E21EA}"/>
            </a:ext>
          </a:extLst>
        </xdr:cNvPr>
        <xdr:cNvSpPr txBox="1"/>
      </xdr:nvSpPr>
      <xdr:spPr>
        <a:xfrm>
          <a:off x="2757238" y="3549313"/>
          <a:ext cx="1734551" cy="2907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Rendimentos por mês (R$)</a:t>
          </a:r>
        </a:p>
      </xdr:txBody>
    </xdr:sp>
    <xdr:clientData/>
  </xdr:twoCellAnchor>
  <xdr:twoCellAnchor>
    <xdr:from>
      <xdr:col>7</xdr:col>
      <xdr:colOff>170448</xdr:colOff>
      <xdr:row>19</xdr:row>
      <xdr:rowOff>20053</xdr:rowOff>
    </xdr:from>
    <xdr:to>
      <xdr:col>10</xdr:col>
      <xdr:colOff>551448</xdr:colOff>
      <xdr:row>20</xdr:row>
      <xdr:rowOff>20055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42F75A53-1A9B-2641-6D66-54406D3D3596}"/>
            </a:ext>
          </a:extLst>
        </xdr:cNvPr>
        <xdr:cNvSpPr txBox="1"/>
      </xdr:nvSpPr>
      <xdr:spPr>
        <a:xfrm>
          <a:off x="9033711" y="3880185"/>
          <a:ext cx="2215816" cy="1905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pt-BR" sz="1000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741949</xdr:colOff>
      <xdr:row>29</xdr:row>
      <xdr:rowOff>0</xdr:rowOff>
    </xdr:from>
    <xdr:to>
      <xdr:col>4</xdr:col>
      <xdr:colOff>822160</xdr:colOff>
      <xdr:row>30</xdr:row>
      <xdr:rowOff>110289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452729C5-253C-4C8B-58D5-EF68BF135B54}"/>
            </a:ext>
          </a:extLst>
        </xdr:cNvPr>
        <xdr:cNvSpPr txBox="1"/>
      </xdr:nvSpPr>
      <xdr:spPr>
        <a:xfrm>
          <a:off x="4772528" y="5795211"/>
          <a:ext cx="1694448" cy="3007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Filtro dos gráficos</a:t>
          </a:r>
        </a:p>
      </xdr:txBody>
    </xdr:sp>
    <xdr:clientData/>
  </xdr:twoCellAnchor>
  <xdr:twoCellAnchor>
    <xdr:from>
      <xdr:col>2</xdr:col>
      <xdr:colOff>10025</xdr:colOff>
      <xdr:row>29</xdr:row>
      <xdr:rowOff>20052</xdr:rowOff>
    </xdr:from>
    <xdr:to>
      <xdr:col>5</xdr:col>
      <xdr:colOff>80210</xdr:colOff>
      <xdr:row>33</xdr:row>
      <xdr:rowOff>50131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254EA5C2-522E-9A69-FF21-4E283ABBCB10}"/>
            </a:ext>
          </a:extLst>
        </xdr:cNvPr>
        <xdr:cNvSpPr/>
      </xdr:nvSpPr>
      <xdr:spPr>
        <a:xfrm>
          <a:off x="2807367" y="5815263"/>
          <a:ext cx="4912896" cy="792079"/>
        </a:xfrm>
        <a:prstGeom prst="rect">
          <a:avLst/>
        </a:prstGeom>
        <a:noFill/>
        <a:ln w="28575">
          <a:solidFill>
            <a:srgbClr val="147D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20053</xdr:colOff>
      <xdr:row>17</xdr:row>
      <xdr:rowOff>70184</xdr:rowOff>
    </xdr:from>
    <xdr:to>
      <xdr:col>5</xdr:col>
      <xdr:colOff>70184</xdr:colOff>
      <xdr:row>29</xdr:row>
      <xdr:rowOff>10026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C3C912A7-EFC0-032B-67BE-885BA80D43C8}"/>
            </a:ext>
          </a:extLst>
        </xdr:cNvPr>
        <xdr:cNvSpPr/>
      </xdr:nvSpPr>
      <xdr:spPr>
        <a:xfrm>
          <a:off x="2817395" y="3549316"/>
          <a:ext cx="4892842" cy="2255921"/>
        </a:xfrm>
        <a:prstGeom prst="rect">
          <a:avLst/>
        </a:prstGeom>
        <a:noFill/>
        <a:ln w="28575">
          <a:solidFill>
            <a:srgbClr val="147D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1413710</xdr:colOff>
      <xdr:row>17</xdr:row>
      <xdr:rowOff>100262</xdr:rowOff>
    </xdr:from>
    <xdr:to>
      <xdr:col>5</xdr:col>
      <xdr:colOff>50132</xdr:colOff>
      <xdr:row>28</xdr:row>
      <xdr:rowOff>180474</xdr:rowOff>
    </xdr:to>
    <xdr:graphicFrame macro="">
      <xdr:nvGraphicFramePr>
        <xdr:cNvPr id="15" name="Gráfico 1">
          <a:extLst>
            <a:ext uri="{FF2B5EF4-FFF2-40B4-BE49-F238E27FC236}">
              <a16:creationId xmlns:a16="http://schemas.microsoft.com/office/drawing/2014/main" id="{6FA9C849-FF82-96B8-7862-418A117EF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1423736</xdr:colOff>
      <xdr:row>17</xdr:row>
      <xdr:rowOff>100263</xdr:rowOff>
    </xdr:from>
    <xdr:to>
      <xdr:col>4</xdr:col>
      <xdr:colOff>1794709</xdr:colOff>
      <xdr:row>18</xdr:row>
      <xdr:rowOff>130342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B66D11A-3718-7D5E-011B-526F8C035FD0}"/>
            </a:ext>
          </a:extLst>
        </xdr:cNvPr>
        <xdr:cNvSpPr txBox="1"/>
      </xdr:nvSpPr>
      <xdr:spPr>
        <a:xfrm>
          <a:off x="5454315" y="3579395"/>
          <a:ext cx="1985210" cy="2205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>
              <a:solidFill>
                <a:schemeClr val="bg2">
                  <a:lumMod val="50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Rendimentos por categoria (R$)</a:t>
          </a:r>
          <a:endParaRPr lang="pt-BR" sz="1000" b="0">
            <a:solidFill>
              <a:schemeClr val="bg2">
                <a:lumMod val="50000"/>
              </a:schemeClr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pt-BR" sz="1000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 Bernardini" refreshedDate="46270.470242476855" createdVersion="8" refreshedVersion="8" minRefreshableVersion="3" recordCount="7" xr:uid="{E165BFBF-CBA1-4A06-BB85-D41A5F28EACB}">
  <cacheSource type="worksheet">
    <worksheetSource ref="C11:E18" sheet="RENDIMENTOS"/>
  </cacheSource>
  <cacheFields count="3">
    <cacheField name="DATA" numFmtId="169">
      <sharedItems containsNonDate="0" containsDate="1" containsString="0" containsBlank="1" minDate="2025-01-01T00:00:00" maxDate="2025-10-05T00:00:00"/>
    </cacheField>
    <cacheField name="CATEGORIA" numFmtId="0">
      <sharedItems containsBlank="1" count="4">
        <s v="HOLERITE"/>
        <s v="SERVIÇOS PJ"/>
        <s v="FREELANCE "/>
        <m/>
      </sharedItems>
    </cacheField>
    <cacheField name="VALOR " numFmtId="168">
      <sharedItems containsString="0" containsBlank="1" containsNumber="1" containsInteger="1" minValue="10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 Bernardini" refreshedDate="46270.470243055555" createdVersion="8" refreshedVersion="8" minRefreshableVersion="3" recordCount="13" xr:uid="{15CEC52E-E38D-4ECD-8B78-3F02D20B989E}">
  <cacheSource type="worksheet">
    <worksheetSource name="tbRendimentos"/>
  </cacheSource>
  <cacheFields count="5">
    <cacheField name="DATA" numFmtId="169">
      <sharedItems containsNonDate="0" containsDate="1" containsString="0" containsBlank="1" minDate="2025-01-01T00:00:00" maxDate="2025-10-05T00:00:00" count="6">
        <d v="2025-01-01T00:00:00"/>
        <d v="2025-03-02T00:00:00"/>
        <d v="2025-07-01T00:00:00"/>
        <d v="2025-08-03T00:00:00"/>
        <d v="2025-10-04T00:00:00"/>
        <m/>
      </sharedItems>
      <fieldGroup par="4"/>
    </cacheField>
    <cacheField name="CATEGORIA" numFmtId="0">
      <sharedItems containsBlank="1" count="4">
        <s v="HOLERITE"/>
        <s v="SERVIÇOS PJ"/>
        <s v="FREELANCE "/>
        <m/>
      </sharedItems>
    </cacheField>
    <cacheField name="VALOR " numFmtId="168">
      <sharedItems containsString="0" containsBlank="1" containsNumber="1" containsInteger="1" minValue="1000" maxValue="5000"/>
    </cacheField>
    <cacheField name="Meses (DATA)" numFmtId="0" databaseField="0">
      <fieldGroup base="0">
        <rangePr autoStart="0" groupBy="months" startDate="2025-01-01T00:00:00" endDate="2025-10-05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5/10/2025"/>
        </groupItems>
      </fieldGroup>
    </cacheField>
    <cacheField name="Anos (DATA)" numFmtId="0" databaseField="0">
      <fieldGroup base="0">
        <rangePr autoStart="0" groupBy="years" startDate="2025-01-01T00:00:00" endDate="2025-10-05T00:00:00"/>
        <groupItems count="3">
          <s v="&lt;01/01/2025"/>
          <s v="2025"/>
          <s v="&gt;05/10/2025"/>
        </groupItems>
      </fieldGroup>
    </cacheField>
  </cacheFields>
  <extLst>
    <ext xmlns:x14="http://schemas.microsoft.com/office/spreadsheetml/2009/9/main" uri="{725AE2AE-9491-48be-B2B4-4EB974FC3084}">
      <x14:pivotCacheDefinition pivotCacheId="13548615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5-01-01T00:00:00"/>
    <x v="0"/>
    <n v="2000"/>
  </r>
  <r>
    <d v="2025-03-02T00:00:00"/>
    <x v="1"/>
    <n v="2500"/>
  </r>
  <r>
    <d v="2025-07-01T00:00:00"/>
    <x v="2"/>
    <n v="3000"/>
  </r>
  <r>
    <d v="2025-08-03T00:00:00"/>
    <x v="2"/>
    <n v="5000"/>
  </r>
  <r>
    <d v="2025-10-04T00:00:00"/>
    <x v="1"/>
    <n v="1000"/>
  </r>
  <r>
    <m/>
    <x v="3"/>
    <m/>
  </r>
  <r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2000"/>
  </r>
  <r>
    <x v="1"/>
    <x v="1"/>
    <n v="2500"/>
  </r>
  <r>
    <x v="2"/>
    <x v="2"/>
    <n v="3000"/>
  </r>
  <r>
    <x v="3"/>
    <x v="2"/>
    <n v="5000"/>
  </r>
  <r>
    <x v="4"/>
    <x v="1"/>
    <n v="1000"/>
  </r>
  <r>
    <x v="5"/>
    <x v="3"/>
    <m/>
  </r>
  <r>
    <x v="5"/>
    <x v="3"/>
    <m/>
  </r>
  <r>
    <x v="5"/>
    <x v="3"/>
    <m/>
  </r>
  <r>
    <x v="5"/>
    <x v="3"/>
    <m/>
  </r>
  <r>
    <x v="5"/>
    <x v="3"/>
    <m/>
  </r>
  <r>
    <x v="5"/>
    <x v="3"/>
    <m/>
  </r>
  <r>
    <x v="5"/>
    <x v="3"/>
    <m/>
  </r>
  <r>
    <x v="5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56839-9101-4048-83E3-218608864A85}" name="Tabela dinâmica1" cacheId="34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1">
  <location ref="L2:M5" firstHeaderRow="1" firstDataRow="1" firstDataCol="1"/>
  <pivotFields count="5">
    <pivotField showAll="0">
      <items count="7">
        <item x="0"/>
        <item x="1"/>
        <item x="3"/>
        <item x="4"/>
        <item x="5"/>
        <item x="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Soma de VALOR " fld="2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76" name="DATA">
      <autoFilter ref="A1">
        <filterColumn colId="0">
          <customFilters and="1">
            <customFilter operator="greaterThanOrEqual" val="45658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5E398-35C6-486C-90CD-13F4121DA476}" name="Tabela dinâmica4" cacheId="34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7">
  <location ref="J2:K6" firstHeaderRow="1" firstDataRow="1" firstDataCol="1"/>
  <pivotFields count="5">
    <pivotField showAll="0">
      <items count="7">
        <item x="0"/>
        <item x="1"/>
        <item x="3"/>
        <item x="4"/>
        <item x="5"/>
        <item x="2"/>
        <item t="default"/>
      </items>
    </pivotField>
    <pivotField showAll="0"/>
    <pivotField dataField="1"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4"/>
    <field x="3"/>
  </rowFields>
  <rowItems count="4">
    <i>
      <x v="1"/>
    </i>
    <i r="1">
      <x v="1"/>
    </i>
    <i r="1">
      <x v="3"/>
    </i>
    <i t="grand">
      <x/>
    </i>
  </rowItems>
  <colItems count="1">
    <i/>
  </colItems>
  <dataFields count="1">
    <dataField name="Soma de VALOR " fld="2" baseField="0" baseItem="0"/>
  </dataFields>
  <formats count="4">
    <format dxfId="5">
      <pivotArea collapsedLevelsAreSubtotals="1" fieldPosition="0">
        <references count="2">
          <reference field="3" count="1">
            <x v="1"/>
          </reference>
          <reference field="4" count="1" selected="0">
            <x v="1"/>
          </reference>
        </references>
      </pivotArea>
    </format>
    <format dxfId="4">
      <pivotArea collapsedLevelsAreSubtotals="1" fieldPosition="0">
        <references count="2">
          <reference field="3" count="1">
            <x v="3"/>
          </reference>
          <reference field="4" count="1" selected="0">
            <x v="1"/>
          </reference>
        </references>
      </pivotArea>
    </format>
    <format dxfId="3">
      <pivotArea collapsedLevelsAreSubtotals="1" fieldPosition="0">
        <references count="2">
          <reference field="3" count="1">
            <x v="8"/>
          </reference>
          <reference field="4" count="1" selected="0">
            <x v="1"/>
          </reference>
        </references>
      </pivotArea>
    </format>
    <format dxfId="2">
      <pivotArea collapsedLevelsAreSubtotals="1" fieldPosition="0">
        <references count="2">
          <reference field="3" count="1">
            <x v="10"/>
          </reference>
          <reference field="4" count="1" selected="0">
            <x v="1"/>
          </reference>
        </references>
      </pivotArea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4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76" name="DATA">
      <autoFilter ref="A1">
        <filterColumn colId="0">
          <customFilters and="1">
            <customFilter operator="greaterThanOrEqual" val="45658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B1416-D1AE-416D-A438-4E45F5695F7C}" name="Tabela dinâmica8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J10:K14" firstHeaderRow="1" firstDataRow="1" firstDataCol="1"/>
  <pivotFields count="3">
    <pivotField showAll="0"/>
    <pivotField axis="axisRow" showAll="0">
      <items count="5">
        <item x="2"/>
        <item x="0"/>
        <item x="1"/>
        <item h="1" x="3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" fld="2" baseField="0" baseItem="0"/>
  </dataFields>
  <formats count="4">
    <format dxfId="9">
      <pivotArea grandRow="1" outline="0" collapsedLevelsAreSubtotals="1" fieldPosition="0"/>
    </format>
    <format dxfId="8">
      <pivotArea collapsedLevelsAreSubtotals="1" fieldPosition="0">
        <references count="1">
          <reference field="1" count="1">
            <x v="0"/>
          </reference>
        </references>
      </pivotArea>
    </format>
    <format dxfId="7">
      <pivotArea collapsedLevelsAreSubtotals="1" fieldPosition="0">
        <references count="1">
          <reference field="1" count="1">
            <x v="1"/>
          </reference>
        </references>
      </pivotArea>
    </format>
    <format dxfId="6">
      <pivotArea collapsedLevelsAreSubtotals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654D8-CDC7-419B-A6D4-99A0AAA93C2E}" name="tbRendimentos" displayName="tbRendimentos" ref="C11:E24" headerRowDxfId="17" dataDxfId="16">
  <autoFilter ref="C11:E24" xr:uid="{D45654D8-CDC7-419B-A6D4-99A0AAA93C2E}"/>
  <tableColumns count="3">
    <tableColumn id="1" xr3:uid="{13CFA3B3-BDA0-466B-B656-B7955312C16C}" name="DATA" dataDxfId="15" totalsRowDxfId="14"/>
    <tableColumn id="2" xr3:uid="{98740831-A2BA-43A6-ABCE-6B740777EBC0}" name="CATEGORIA" dataDxfId="13" totalsRowDxfId="12"/>
    <tableColumn id="3" xr3:uid="{C57BF3C3-A637-4B2B-8D59-C750E3FD8DCD}" name="VALOR " dataDxfId="11" totalsRow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C0BE2C3C-21F6-4A5C-986C-8E549FA784D0}" sourceName="DATA">
  <pivotTables>
    <pivotTable tabId="6" name="Tabela dinâmica4"/>
    <pivotTable tabId="6" name="Tabela dinâmica1"/>
  </pivotTables>
  <state minimalRefreshVersion="6" lastRefreshVersion="6" pivotCacheId="1354861570" filterType="dateBetween">
    <selection startDate="2025-01-01T00:00:00" endDate="2025-03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D6A6481C-4707-446B-B500-5204550E4AE6}" cache="NativeTimeline_DATA" caption="DATA" showHeader="0" showSelectionLabel="0" showTimeLevel="0" showHorizontalScrollbar="0" level="2" selectionLevel="1" scrollPosition="2025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usuario@exempl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38EF-86BE-4A2D-A3D1-716F70FCAEE0}">
  <sheetPr codeName="Planilha1"/>
  <dimension ref="A1:D31"/>
  <sheetViews>
    <sheetView showGridLines="0" showRowColHeaders="0" zoomScaleNormal="100" workbookViewId="0">
      <selection activeCell="D8" sqref="D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34.7109375" style="1" customWidth="1"/>
    <col min="2" max="2" width="7.28515625" customWidth="1"/>
    <col min="3" max="3" width="65.7109375" customWidth="1"/>
    <col min="4" max="4" width="35.7109375" customWidth="1"/>
  </cols>
  <sheetData>
    <row r="1" spans="1:4" ht="16.5" customHeight="1"/>
    <row r="2" spans="1:4" ht="16.5" customHeight="1">
      <c r="C2" s="12" t="s">
        <v>21</v>
      </c>
      <c r="D2" s="14">
        <v>2025</v>
      </c>
    </row>
    <row r="3" spans="1:4" ht="16.5">
      <c r="C3" s="11" t="s">
        <v>20</v>
      </c>
      <c r="D3" s="13">
        <f>D2+1</f>
        <v>2026</v>
      </c>
    </row>
    <row r="4" spans="1:4" ht="30" customHeight="1">
      <c r="C4" s="56" t="str">
        <f>"1. DADOS DO CONTRIBUINTE — IRPF "&amp;D3</f>
        <v>1. DADOS DO CONTRIBUINTE — IRPF 2026</v>
      </c>
      <c r="D4" s="56"/>
    </row>
    <row r="5" spans="1:4" ht="9.9499999999999993" customHeight="1" thickBot="1">
      <c r="C5" s="3"/>
    </row>
    <row r="6" spans="1:4" s="5" customFormat="1" ht="24.95" customHeight="1" thickTop="1">
      <c r="A6" s="4"/>
      <c r="C6" s="55" t="s">
        <v>7</v>
      </c>
      <c r="D6" s="55"/>
    </row>
    <row r="8" spans="1:4" ht="16.5">
      <c r="C8" s="6" t="s">
        <v>1</v>
      </c>
      <c r="D8" s="19" t="s">
        <v>115</v>
      </c>
    </row>
    <row r="9" spans="1:4" ht="16.5">
      <c r="C9" s="7" t="s">
        <v>2</v>
      </c>
      <c r="D9" s="20">
        <v>0</v>
      </c>
    </row>
    <row r="10" spans="1:4" ht="16.5">
      <c r="C10" s="7" t="s">
        <v>23</v>
      </c>
      <c r="D10" s="21">
        <v>35118</v>
      </c>
    </row>
    <row r="11" spans="1:4" ht="16.5">
      <c r="C11" s="7" t="s">
        <v>8</v>
      </c>
      <c r="D11" s="22" t="s">
        <v>116</v>
      </c>
    </row>
    <row r="12" spans="1:4" ht="16.5">
      <c r="C12" s="7" t="s">
        <v>18</v>
      </c>
      <c r="D12" s="22" t="s">
        <v>52</v>
      </c>
    </row>
    <row r="13" spans="1:4" ht="16.5">
      <c r="C13" s="7" t="s">
        <v>17</v>
      </c>
      <c r="D13" s="23">
        <v>0</v>
      </c>
    </row>
    <row r="14" spans="1:4" ht="16.5">
      <c r="C14" s="7" t="s">
        <v>12</v>
      </c>
      <c r="D14" s="22" t="s">
        <v>120</v>
      </c>
    </row>
    <row r="15" spans="1:4" ht="16.5">
      <c r="C15" s="9" t="s">
        <v>13</v>
      </c>
      <c r="D15" s="22" t="s">
        <v>53</v>
      </c>
    </row>
    <row r="16" spans="1:4" ht="16.5">
      <c r="C16" s="7" t="s">
        <v>19</v>
      </c>
      <c r="D16" s="22" t="s">
        <v>117</v>
      </c>
    </row>
    <row r="17" spans="1:4" ht="16.5">
      <c r="C17" s="6" t="s">
        <v>14</v>
      </c>
      <c r="D17" s="22" t="s">
        <v>49</v>
      </c>
    </row>
    <row r="18" spans="1:4" ht="16.5">
      <c r="C18" s="7" t="s">
        <v>3</v>
      </c>
      <c r="D18" s="24">
        <v>0</v>
      </c>
    </row>
    <row r="19" spans="1:4" ht="16.5">
      <c r="C19" s="7" t="s">
        <v>4</v>
      </c>
      <c r="D19" s="25">
        <v>0</v>
      </c>
    </row>
    <row r="20" spans="1:4" ht="16.5">
      <c r="C20" s="7" t="s">
        <v>5</v>
      </c>
      <c r="D20" s="26">
        <v>0</v>
      </c>
    </row>
    <row r="21" spans="1:4" ht="16.5">
      <c r="C21" s="7" t="s">
        <v>6</v>
      </c>
      <c r="D21" s="34" t="s">
        <v>121</v>
      </c>
    </row>
    <row r="22" spans="1:4" ht="17.25">
      <c r="A22" s="8" t="s">
        <v>0</v>
      </c>
      <c r="C22" s="7" t="s">
        <v>9</v>
      </c>
      <c r="D22" s="22" t="s">
        <v>16</v>
      </c>
    </row>
    <row r="23" spans="1:4" ht="16.5">
      <c r="C23" s="7" t="s">
        <v>10</v>
      </c>
      <c r="D23" s="22" t="s">
        <v>15</v>
      </c>
    </row>
    <row r="24" spans="1:4" ht="16.5">
      <c r="C24" s="7" t="s">
        <v>11</v>
      </c>
      <c r="D24" s="22" t="s">
        <v>16</v>
      </c>
    </row>
    <row r="28" spans="1:4" ht="14.25" customHeight="1"/>
    <row r="31" spans="1:4" ht="15" customHeight="1">
      <c r="A31" s="2"/>
    </row>
  </sheetData>
  <sheetProtection sheet="1" selectLockedCells="1"/>
  <mergeCells count="2">
    <mergeCell ref="C6:D6"/>
    <mergeCell ref="C4:D4"/>
  </mergeCells>
  <dataValidations count="3">
    <dataValidation type="list" allowBlank="1" showInputMessage="1" showErrorMessage="1" sqref="D22:D24" xr:uid="{BB2379CC-86D1-4A77-BF05-148C6ACE0F74}">
      <formula1>"SIM,NÃO"</formula1>
    </dataValidation>
    <dataValidation type="list" allowBlank="1" showInputMessage="1" showErrorMessage="1" sqref="D2" xr:uid="{DB6A52A1-C87D-49D9-BB51-47257D1608BB}">
      <formula1>LISTAANOS</formula1>
    </dataValidation>
    <dataValidation type="list" allowBlank="1" showInputMessage="1" showErrorMessage="1" sqref="D17" xr:uid="{A0DB92FA-1B91-4EF9-AEB4-C903A471DB03}">
      <formula1>LISTAESTADOS</formula1>
    </dataValidation>
  </dataValidations>
  <hyperlinks>
    <hyperlink ref="D21" r:id="rId1" xr:uid="{A1BB3FA7-E9F6-4D8D-B06C-4BC8E8BA74C4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14BF-62EC-42ED-90F1-198D36EDB2F5}">
  <sheetPr codeName="Planilha2"/>
  <dimension ref="A1:D28"/>
  <sheetViews>
    <sheetView showGridLines="0" showRowColHeaders="0" zoomScaleNormal="100" workbookViewId="0">
      <selection activeCell="D17" sqref="D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34.7109375" style="1" customWidth="1"/>
    <col min="2" max="2" width="7.28515625" customWidth="1"/>
    <col min="3" max="3" width="65.7109375" customWidth="1"/>
    <col min="4" max="4" width="35.7109375" customWidth="1"/>
  </cols>
  <sheetData>
    <row r="1" spans="3:4" ht="16.5" customHeight="1"/>
    <row r="2" spans="3:4" ht="16.5" customHeight="1">
      <c r="C2" s="12" t="s">
        <v>21</v>
      </c>
      <c r="D2" s="14">
        <v>2025</v>
      </c>
    </row>
    <row r="3" spans="3:4" ht="16.5" customHeight="1">
      <c r="C3" s="11" t="s">
        <v>20</v>
      </c>
      <c r="D3" s="13">
        <f>D2+1</f>
        <v>2026</v>
      </c>
    </row>
    <row r="4" spans="3:4" ht="25.5">
      <c r="C4" s="53" t="str">
        <f>"2. INFORMES DE RENDIMENTOS — IRPF "&amp;ExercicioIR</f>
        <v>2. INFORMES DE RENDIMENTOS — IRPF 2026</v>
      </c>
      <c r="D4" s="53"/>
    </row>
    <row r="5" spans="3:4" ht="9.9499999999999993" customHeight="1" thickBot="1"/>
    <row r="6" spans="3:4" ht="17.25" thickTop="1">
      <c r="C6" s="55" t="s">
        <v>122</v>
      </c>
      <c r="D6" s="55"/>
    </row>
    <row r="8" spans="3:4" ht="16.5">
      <c r="C8" s="17" t="str">
        <f>"TOTAL DOS SALDOS EM 31/12/"&amp;AnoCalendario</f>
        <v>TOTAL DOS SALDOS EM 31/12/2025</v>
      </c>
    </row>
    <row r="9" spans="3:4" ht="17.25">
      <c r="C9" s="57">
        <f>SUM(D13,D17,D21)</f>
        <v>140000</v>
      </c>
      <c r="D9" s="58"/>
    </row>
    <row r="11" spans="3:4">
      <c r="C11" s="18" t="s">
        <v>56</v>
      </c>
    </row>
    <row r="12" spans="3:4" ht="16.5">
      <c r="C12" s="6" t="s">
        <v>54</v>
      </c>
      <c r="D12" s="19" t="s">
        <v>65</v>
      </c>
    </row>
    <row r="13" spans="3:4" ht="16.5">
      <c r="C13" s="6" t="str">
        <f>"SALDO EM 31/12/"&amp;AnoCalendario</f>
        <v>SALDO EM 31/12/2025</v>
      </c>
      <c r="D13" s="28">
        <v>30000</v>
      </c>
    </row>
    <row r="14" spans="3:4" ht="16.5">
      <c r="C14" s="6" t="s">
        <v>55</v>
      </c>
      <c r="D14" s="19" t="s">
        <v>60</v>
      </c>
    </row>
    <row r="15" spans="3:4">
      <c r="C15" s="18" t="s">
        <v>57</v>
      </c>
    </row>
    <row r="16" spans="3:4" ht="16.5">
      <c r="C16" s="6" t="s">
        <v>54</v>
      </c>
      <c r="D16" s="19" t="s">
        <v>61</v>
      </c>
    </row>
    <row r="17" spans="1:4" ht="16.5">
      <c r="C17" s="6" t="str">
        <f>"SALDO EM 31/12/"&amp;AnoCalendario</f>
        <v>SALDO EM 31/12/2025</v>
      </c>
      <c r="D17" s="27">
        <v>50000</v>
      </c>
    </row>
    <row r="18" spans="1:4" ht="16.5">
      <c r="C18" s="6" t="s">
        <v>55</v>
      </c>
      <c r="D18" s="19" t="s">
        <v>60</v>
      </c>
    </row>
    <row r="19" spans="1:4">
      <c r="C19" s="18" t="s">
        <v>58</v>
      </c>
    </row>
    <row r="20" spans="1:4" ht="16.5">
      <c r="C20" s="6" t="s">
        <v>54</v>
      </c>
      <c r="D20" s="19" t="s">
        <v>64</v>
      </c>
    </row>
    <row r="21" spans="1:4" ht="16.5">
      <c r="C21" s="6" t="str">
        <f>"SALDO EM 31/12/"&amp;AnoCalendario</f>
        <v>SALDO EM 31/12/2025</v>
      </c>
      <c r="D21" s="27">
        <v>60000</v>
      </c>
    </row>
    <row r="22" spans="1:4" ht="17.25">
      <c r="A22" s="8" t="s">
        <v>0</v>
      </c>
      <c r="C22" s="6" t="s">
        <v>55</v>
      </c>
      <c r="D22" s="19" t="s">
        <v>60</v>
      </c>
    </row>
    <row r="25" spans="1:4" ht="14.25" customHeight="1"/>
    <row r="28" spans="1:4" ht="15" customHeight="1">
      <c r="A28" s="2"/>
    </row>
  </sheetData>
  <sheetProtection sheet="1" selectLockedCells="1"/>
  <mergeCells count="3">
    <mergeCell ref="C4:D4"/>
    <mergeCell ref="C6:D6"/>
    <mergeCell ref="C9:D9"/>
  </mergeCells>
  <dataValidations count="1">
    <dataValidation type="list" allowBlank="1" showInputMessage="1" showErrorMessage="1" sqref="D2" xr:uid="{AC702746-175A-48DF-88D1-51C0F345BF6C}">
      <formula1>LISTAANOS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!" error="Informe um banco da lista. " promptTitle="Informe um banco" prompt="Informe um banco vinculado ao seu cpf." xr:uid="{523E2269-DD77-4F8C-82DE-38E7B56CA37B}">
          <x14:formula1>
            <xm:f>APOIO!$E$2:$E$52</xm:f>
          </x14:formula1>
          <xm:sqref>D12 D16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77A7-F4DE-4CB4-8C82-918C9E42848D}">
  <sheetPr codeName="Planilha3"/>
  <dimension ref="A1:H30"/>
  <sheetViews>
    <sheetView showGridLines="0" showRowColHeaders="0" zoomScaleNormal="100" workbookViewId="0">
      <selection activeCell="C11" sqref="C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34.7109375" style="1" customWidth="1"/>
    <col min="2" max="2" width="7.28515625" customWidth="1"/>
    <col min="3" max="3" width="21.5703125" customWidth="1"/>
    <col min="4" max="4" width="38.28515625" customWidth="1"/>
    <col min="5" max="5" width="29.85546875" customWidth="1"/>
  </cols>
  <sheetData>
    <row r="1" spans="3:5" ht="16.5" customHeight="1"/>
    <row r="2" spans="3:5" ht="16.5" customHeight="1">
      <c r="C2" s="51" t="s">
        <v>21</v>
      </c>
      <c r="D2" s="51"/>
      <c r="E2" s="14">
        <v>2025</v>
      </c>
    </row>
    <row r="3" spans="3:5" ht="16.5" customHeight="1">
      <c r="C3" s="52" t="s">
        <v>20</v>
      </c>
      <c r="D3" s="52"/>
      <c r="E3" s="13">
        <f>E2+1</f>
        <v>2026</v>
      </c>
    </row>
    <row r="4" spans="3:5" ht="25.5">
      <c r="C4" s="53" t="str">
        <f>"3. RENDIMENTOS MENSAIS — IRPF "&amp;ExercicioIR</f>
        <v>3. RENDIMENTOS MENSAIS — IRPF 2026</v>
      </c>
      <c r="D4" s="53"/>
      <c r="E4" s="53"/>
    </row>
    <row r="5" spans="3:5" ht="9.9499999999999993" customHeight="1" thickBot="1">
      <c r="C5" s="54"/>
      <c r="D5" s="54"/>
    </row>
    <row r="6" spans="3:5" ht="17.25" thickTop="1">
      <c r="C6" s="55" t="s">
        <v>118</v>
      </c>
      <c r="D6" s="55"/>
      <c r="E6" s="55"/>
    </row>
    <row r="10" spans="3:5" ht="26.25" customHeight="1">
      <c r="C10" s="60" t="s">
        <v>119</v>
      </c>
      <c r="D10" s="60"/>
      <c r="E10" s="60"/>
    </row>
    <row r="11" spans="3:5" ht="16.5">
      <c r="C11" s="29" t="s">
        <v>131</v>
      </c>
      <c r="D11" s="29" t="s">
        <v>112</v>
      </c>
      <c r="E11" s="29" t="s">
        <v>132</v>
      </c>
    </row>
    <row r="12" spans="3:5" ht="16.5">
      <c r="C12" s="35">
        <v>45658</v>
      </c>
      <c r="D12" s="30" t="s">
        <v>113</v>
      </c>
      <c r="E12" s="31">
        <v>2000</v>
      </c>
    </row>
    <row r="13" spans="3:5" ht="16.5">
      <c r="C13" s="35">
        <v>45718</v>
      </c>
      <c r="D13" s="30" t="s">
        <v>143</v>
      </c>
      <c r="E13" s="31">
        <v>2500</v>
      </c>
    </row>
    <row r="14" spans="3:5" ht="16.5">
      <c r="C14" s="35">
        <v>45839</v>
      </c>
      <c r="D14" s="30" t="s">
        <v>114</v>
      </c>
      <c r="E14" s="31">
        <v>3000</v>
      </c>
    </row>
    <row r="15" spans="3:5" ht="16.5">
      <c r="C15" s="35">
        <v>45872</v>
      </c>
      <c r="D15" s="30" t="s">
        <v>114</v>
      </c>
      <c r="E15" s="31">
        <v>5000</v>
      </c>
    </row>
    <row r="16" spans="3:5" ht="16.5">
      <c r="C16" s="35">
        <v>45934</v>
      </c>
      <c r="D16" s="30" t="s">
        <v>143</v>
      </c>
      <c r="E16" s="31">
        <v>1000</v>
      </c>
    </row>
    <row r="17" spans="1:8" ht="16.5">
      <c r="C17" s="35"/>
      <c r="D17" s="30"/>
      <c r="E17" s="31"/>
    </row>
    <row r="18" spans="1:8" ht="16.5">
      <c r="C18" s="35"/>
      <c r="D18" s="30"/>
      <c r="E18" s="31"/>
    </row>
    <row r="19" spans="1:8" ht="16.5">
      <c r="C19" s="35"/>
      <c r="D19" s="30"/>
      <c r="E19" s="31"/>
    </row>
    <row r="20" spans="1:8" ht="16.5">
      <c r="C20" s="35"/>
      <c r="D20" s="30"/>
      <c r="E20" s="31"/>
    </row>
    <row r="21" spans="1:8" ht="16.5">
      <c r="C21" s="35"/>
      <c r="D21" s="30"/>
      <c r="E21" s="31"/>
    </row>
    <row r="22" spans="1:8" ht="17.25">
      <c r="A22" s="8" t="s">
        <v>0</v>
      </c>
      <c r="C22" s="35"/>
      <c r="D22" s="30"/>
      <c r="E22" s="31"/>
    </row>
    <row r="23" spans="1:8" ht="16.5">
      <c r="C23" s="35"/>
      <c r="D23" s="30"/>
      <c r="E23" s="31"/>
      <c r="H23" s="10"/>
    </row>
    <row r="24" spans="1:8" ht="16.5">
      <c r="C24" s="35"/>
      <c r="D24" s="30"/>
      <c r="E24" s="31"/>
    </row>
    <row r="25" spans="1:8" ht="16.5">
      <c r="C25" s="59" t="s">
        <v>59</v>
      </c>
      <c r="D25" s="59"/>
      <c r="E25" s="33">
        <f>SUM(tbRendimentos[[VALOR ]])</f>
        <v>13500</v>
      </c>
    </row>
    <row r="27" spans="1:8" ht="14.25" customHeight="1"/>
    <row r="30" spans="1:8" ht="15" customHeight="1">
      <c r="A30" s="2"/>
    </row>
  </sheetData>
  <sheetProtection sheet="1" selectLockedCells="1"/>
  <mergeCells count="7">
    <mergeCell ref="C25:D25"/>
    <mergeCell ref="C4:E4"/>
    <mergeCell ref="C6:E6"/>
    <mergeCell ref="C10:E10"/>
    <mergeCell ref="C2:D2"/>
    <mergeCell ref="C3:D3"/>
    <mergeCell ref="C5:D5"/>
  </mergeCells>
  <dataValidations count="3">
    <dataValidation type="list" allowBlank="1" showInputMessage="1" showErrorMessage="1" sqref="D18:D24" xr:uid="{EE390E96-E266-41F1-A413-982DD9D98816}">
      <formula1>"HOLERITE, CNPJ, FREELANCE "</formula1>
    </dataValidation>
    <dataValidation type="list" allowBlank="1" showInputMessage="1" showErrorMessage="1" sqref="E2" xr:uid="{10CE2CA0-CCBC-4650-B0FF-81D55017D08E}">
      <formula1>LISTAANOS</formula1>
    </dataValidation>
    <dataValidation type="list" allowBlank="1" showInputMessage="1" showErrorMessage="1" sqref="D12:D17" xr:uid="{47627119-5C49-4F00-A10D-F79B1975AE28}">
      <formula1>"HOLERITE, SERVIÇOS PJ, FREELANCE 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D953-16BC-4A35-80A0-DF97DD36EC5C}">
  <dimension ref="A1:H45"/>
  <sheetViews>
    <sheetView showGridLines="0" showRowColHeaders="0" zoomScale="95" zoomScaleNormal="95" workbookViewId="0">
      <selection activeCell="I22" sqref="I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34.7109375" style="1" customWidth="1"/>
    <col min="2" max="2" width="7.28515625" customWidth="1"/>
    <col min="3" max="3" width="18.42578125" bestFit="1" customWidth="1"/>
    <col min="4" max="4" width="24.140625" bestFit="1" customWidth="1"/>
    <col min="5" max="5" width="29.85546875" customWidth="1"/>
  </cols>
  <sheetData>
    <row r="1" spans="1:5" ht="16.5" customHeight="1"/>
    <row r="2" spans="1:5" ht="16.5" customHeight="1">
      <c r="C2" s="51" t="s">
        <v>21</v>
      </c>
      <c r="D2" s="51"/>
      <c r="E2" s="14">
        <v>2025</v>
      </c>
    </row>
    <row r="3" spans="1:5" ht="16.5" customHeight="1">
      <c r="C3" s="52" t="s">
        <v>20</v>
      </c>
      <c r="D3" s="52"/>
      <c r="E3" s="13">
        <f>E2+1</f>
        <v>2026</v>
      </c>
    </row>
    <row r="4" spans="1:5" ht="25.5">
      <c r="C4" s="53" t="str">
        <f>"4. RESUMO GERAL — IRPF "&amp;ExercicioIR</f>
        <v>4. RESUMO GERAL — IRPF 2026</v>
      </c>
      <c r="D4" s="53"/>
      <c r="E4" s="53"/>
    </row>
    <row r="5" spans="1:5" ht="9.9499999999999993" customHeight="1" thickBot="1">
      <c r="C5" s="54"/>
      <c r="D5" s="54"/>
    </row>
    <row r="6" spans="1:5" ht="17.25" thickTop="1">
      <c r="C6" s="55" t="s">
        <v>123</v>
      </c>
      <c r="D6" s="55"/>
      <c r="E6" s="55"/>
    </row>
    <row r="8" spans="1:5" ht="16.5" customHeight="1"/>
    <row r="9" spans="1:5" ht="16.5" customHeight="1"/>
    <row r="10" spans="1:5" ht="16.5" customHeight="1"/>
    <row r="12" spans="1:5" ht="14.25" customHeight="1"/>
    <row r="13" spans="1:5" ht="15" customHeight="1"/>
    <row r="14" spans="1:5" ht="15" customHeight="1"/>
    <row r="15" spans="1:5" ht="15" customHeight="1">
      <c r="A15" s="2"/>
    </row>
    <row r="16" spans="1:5" ht="16.5" customHeight="1">
      <c r="C16" s="49" t="s">
        <v>144</v>
      </c>
      <c r="D16" s="49"/>
      <c r="E16" s="47">
        <f>APOIO!$I$10</f>
        <v>1</v>
      </c>
    </row>
    <row r="17" spans="1:8" ht="16.5" customHeight="1">
      <c r="C17" s="50" t="str">
        <f>APOIO!$I$12</f>
        <v>✓ Todos os documentos foram anexados</v>
      </c>
      <c r="D17" s="50"/>
      <c r="E17" s="50"/>
    </row>
    <row r="18" spans="1:8" ht="15" customHeight="1"/>
    <row r="19" spans="1:8" ht="15" customHeight="1"/>
    <row r="20" spans="1:8" ht="15" customHeight="1"/>
    <row r="21" spans="1:8">
      <c r="H21" s="62"/>
    </row>
    <row r="24" spans="1:8" ht="17.25">
      <c r="A24" s="8" t="s">
        <v>0</v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</sheetData>
  <sheetProtection sheet="1" objects="1" scenarios="1" selectLockedCells="1"/>
  <mergeCells count="7">
    <mergeCell ref="C16:D16"/>
    <mergeCell ref="C17:E17"/>
    <mergeCell ref="C2:D2"/>
    <mergeCell ref="C3:D3"/>
    <mergeCell ref="C4:E4"/>
    <mergeCell ref="C5:D5"/>
    <mergeCell ref="C6:E6"/>
  </mergeCells>
  <conditionalFormatting sqref="C17:E17">
    <cfRule type="containsText" dxfId="1" priority="1" operator="containsText" text="Todos">
      <formula>NOT(ISERROR(SEARCH("Todos",C17)))</formula>
    </cfRule>
    <cfRule type="containsText" dxfId="0" priority="3" operator="containsText" text="Falta">
      <formula>NOT(ISERROR(SEARCH("Falta",C17)))</formula>
    </cfRule>
  </conditionalFormatting>
  <conditionalFormatting sqref="E16">
    <cfRule type="dataBar" priority="4">
      <dataBar>
        <cfvo type="num" val="0"/>
        <cfvo type="num" val="1"/>
        <color rgb="FF147D73"/>
      </dataBar>
      <extLst>
        <ext xmlns:x14="http://schemas.microsoft.com/office/spreadsheetml/2009/9/main" uri="{B025F937-C7B1-47D3-B67F-A62EFF666E3E}">
          <x14:id>{C4393991-1C19-4341-A706-AB003AF4A450}</x14:id>
        </ext>
      </extLst>
    </cfRule>
  </conditionalFormatting>
  <dataValidations count="1">
    <dataValidation type="list" allowBlank="1" showInputMessage="1" showErrorMessage="1" sqref="E2" xr:uid="{33458304-4F95-4C17-B4E7-2806C4A134D2}">
      <formula1>LISTAANOS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393991-1C19-4341-A706-AB003AF4A45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102A43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</x14:conditionalFormattings>
    </ex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D2E9-9C3E-41A9-95E6-C652D17A620E}">
  <dimension ref="B2:M52"/>
  <sheetViews>
    <sheetView showGridLines="0" showRowColHeaders="0" tabSelected="1" workbookViewId="0">
      <selection activeCell="J20" sqref="J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4" max="4" width="27.42578125" bestFit="1" customWidth="1"/>
    <col min="5" max="5" width="39" bestFit="1" customWidth="1"/>
    <col min="6" max="6" width="5.85546875" customWidth="1"/>
    <col min="7" max="7" width="6.28515625" hidden="1" customWidth="1"/>
    <col min="8" max="8" width="22.5703125" bestFit="1" customWidth="1"/>
    <col min="9" max="9" width="45.42578125" bestFit="1" customWidth="1"/>
    <col min="10" max="10" width="18.42578125" bestFit="1" customWidth="1"/>
    <col min="11" max="11" width="15.7109375" bestFit="1" customWidth="1"/>
    <col min="12" max="12" width="18.42578125" bestFit="1" customWidth="1"/>
    <col min="13" max="13" width="15.7109375" bestFit="1" customWidth="1"/>
  </cols>
  <sheetData>
    <row r="2" spans="2:13" ht="16.5">
      <c r="B2" s="38" t="s">
        <v>22</v>
      </c>
      <c r="C2" s="32"/>
      <c r="D2" s="38" t="s">
        <v>24</v>
      </c>
      <c r="E2" s="38" t="s">
        <v>111</v>
      </c>
      <c r="H2" s="37" t="s">
        <v>124</v>
      </c>
      <c r="I2" s="37" t="s">
        <v>125</v>
      </c>
      <c r="J2" s="43" t="s">
        <v>134</v>
      </c>
      <c r="K2" t="s">
        <v>138</v>
      </c>
      <c r="L2" s="43" t="s">
        <v>134</v>
      </c>
      <c r="M2" t="s">
        <v>138</v>
      </c>
    </row>
    <row r="3" spans="2:13" ht="16.5">
      <c r="B3" s="15">
        <v>2021</v>
      </c>
      <c r="D3" s="16" t="s">
        <v>25</v>
      </c>
      <c r="E3" s="15" t="s">
        <v>61</v>
      </c>
      <c r="H3" s="36" t="s">
        <v>126</v>
      </c>
      <c r="I3" s="42">
        <f>TotalSaldos</f>
        <v>140000</v>
      </c>
      <c r="J3" s="10" t="s">
        <v>139</v>
      </c>
      <c r="K3" s="61">
        <v>4500</v>
      </c>
      <c r="L3" s="10" t="s">
        <v>113</v>
      </c>
      <c r="M3" s="61">
        <v>2000</v>
      </c>
    </row>
    <row r="4" spans="2:13" ht="16.5">
      <c r="B4" s="15">
        <v>2022</v>
      </c>
      <c r="D4" s="16" t="s">
        <v>26</v>
      </c>
      <c r="E4" s="15" t="s">
        <v>62</v>
      </c>
      <c r="H4" s="36" t="s">
        <v>127</v>
      </c>
      <c r="I4" s="41">
        <f>RENDIMENTOS!E25</f>
        <v>13500</v>
      </c>
      <c r="J4" s="44" t="s">
        <v>136</v>
      </c>
      <c r="K4" s="45">
        <v>2000</v>
      </c>
      <c r="L4" s="10" t="s">
        <v>143</v>
      </c>
      <c r="M4" s="61">
        <v>2500</v>
      </c>
    </row>
    <row r="5" spans="2:13" ht="16.5">
      <c r="B5" s="15">
        <v>2023</v>
      </c>
      <c r="D5" s="16" t="s">
        <v>27</v>
      </c>
      <c r="E5" s="15" t="s">
        <v>63</v>
      </c>
      <c r="H5" s="36" t="s">
        <v>128</v>
      </c>
      <c r="I5" s="39">
        <f>COUNTA(Banco1,Banco2,Banco3)</f>
        <v>3</v>
      </c>
      <c r="J5" s="44" t="s">
        <v>137</v>
      </c>
      <c r="K5" s="45">
        <v>2500</v>
      </c>
      <c r="L5" s="10" t="s">
        <v>135</v>
      </c>
      <c r="M5" s="61">
        <v>4500</v>
      </c>
    </row>
    <row r="6" spans="2:13" ht="16.5">
      <c r="B6" s="15">
        <v>2024</v>
      </c>
      <c r="D6" s="16" t="s">
        <v>28</v>
      </c>
      <c r="E6" s="15" t="s">
        <v>64</v>
      </c>
      <c r="H6" s="36" t="s">
        <v>129</v>
      </c>
      <c r="I6" s="40">
        <f>COUNTIFS(tbRendimentos[DATA],"&gt;="&amp;DATE(AnoCalendario,1,1),tbRendimentos[DATA],"&lt;"&amp;DATE(AnoCalendario+1,1,1))</f>
        <v>5</v>
      </c>
      <c r="J6" s="10" t="s">
        <v>135</v>
      </c>
      <c r="K6" s="61">
        <v>4500</v>
      </c>
    </row>
    <row r="7" spans="2:13" ht="16.5">
      <c r="B7" s="15">
        <v>2025</v>
      </c>
      <c r="D7" s="16" t="s">
        <v>29</v>
      </c>
      <c r="E7" s="15" t="s">
        <v>65</v>
      </c>
      <c r="H7" s="36" t="s">
        <v>130</v>
      </c>
      <c r="I7" s="39">
        <f>COUNTA(AnexoBanco1,AnexoBanco2,AnexoBanco3)</f>
        <v>3</v>
      </c>
    </row>
    <row r="8" spans="2:13" ht="16.5">
      <c r="B8" s="15">
        <v>2026</v>
      </c>
      <c r="D8" s="16" t="s">
        <v>30</v>
      </c>
      <c r="E8" s="15" t="s">
        <v>66</v>
      </c>
      <c r="H8" s="36" t="s">
        <v>133</v>
      </c>
      <c r="I8" s="40" t="str">
        <f>IF(AND(I5&gt;0,I6&gt;0,I9=0),"PRONTO PARA REVISÃO","HÁ PENDÊNCIAS")</f>
        <v>PRONTO PARA REVISÃO</v>
      </c>
    </row>
    <row r="9" spans="2:13" ht="33">
      <c r="B9" s="15">
        <v>2027</v>
      </c>
      <c r="D9" s="16" t="s">
        <v>31</v>
      </c>
      <c r="E9" s="15" t="s">
        <v>67</v>
      </c>
      <c r="H9" s="36" t="s">
        <v>140</v>
      </c>
      <c r="I9" s="40">
        <f>MAX(I5-I7,0)</f>
        <v>0</v>
      </c>
    </row>
    <row r="10" spans="2:13" ht="33">
      <c r="B10" s="15">
        <v>2028</v>
      </c>
      <c r="D10" s="16" t="s">
        <v>32</v>
      </c>
      <c r="E10" s="15" t="s">
        <v>68</v>
      </c>
      <c r="H10" s="36" t="s">
        <v>141</v>
      </c>
      <c r="I10" s="46">
        <f>(IF(I5&gt;0,1,0)+IF(I6&gt;0,1,0)+IF(I5=0,0,MIN(I7/I5,1)))/3</f>
        <v>1</v>
      </c>
      <c r="J10" s="43" t="s">
        <v>134</v>
      </c>
      <c r="K10" t="s">
        <v>138</v>
      </c>
    </row>
    <row r="11" spans="2:13" ht="33">
      <c r="B11" s="15">
        <v>2029</v>
      </c>
      <c r="D11" s="16" t="s">
        <v>33</v>
      </c>
      <c r="E11" s="15" t="s">
        <v>69</v>
      </c>
      <c r="H11" s="36" t="s">
        <v>142</v>
      </c>
      <c r="I11" s="40" t="str">
        <f>IF(I9=0,"Todos os documentos foram anexados",IF(I9=1,"Falta 1 documento","Faltam "&amp;I9&amp;" documentos"))</f>
        <v>Todos os documentos foram anexados</v>
      </c>
      <c r="J11" s="10" t="s">
        <v>114</v>
      </c>
      <c r="K11" s="45">
        <v>8000</v>
      </c>
    </row>
    <row r="12" spans="2:13" ht="33">
      <c r="B12" s="15">
        <v>2030</v>
      </c>
      <c r="D12" s="16" t="s">
        <v>34</v>
      </c>
      <c r="E12" s="15" t="s">
        <v>70</v>
      </c>
      <c r="H12" s="36" t="s">
        <v>142</v>
      </c>
      <c r="I12" t="str">
        <f>IF(I9=0,"✓ Todos os documentos foram anexados",IF(I9=1,"⚠ Falta 1 documento para concluir a conferência","⚠ Faltam "&amp;I9&amp;" documentos para concluir a conferência"))</f>
        <v>✓ Todos os documentos foram anexados</v>
      </c>
      <c r="J12" s="10" t="s">
        <v>113</v>
      </c>
      <c r="K12" s="45">
        <v>2000</v>
      </c>
    </row>
    <row r="13" spans="2:13" ht="16.5">
      <c r="B13" s="15">
        <v>2031</v>
      </c>
      <c r="D13" s="16" t="s">
        <v>35</v>
      </c>
      <c r="E13" s="15" t="s">
        <v>71</v>
      </c>
      <c r="J13" s="10" t="s">
        <v>143</v>
      </c>
      <c r="K13" s="45">
        <v>3500</v>
      </c>
    </row>
    <row r="14" spans="2:13" ht="16.5">
      <c r="B14" s="15">
        <v>2032</v>
      </c>
      <c r="D14" s="16" t="s">
        <v>36</v>
      </c>
      <c r="E14" s="15" t="s">
        <v>72</v>
      </c>
      <c r="J14" s="10" t="s">
        <v>135</v>
      </c>
      <c r="K14" s="48">
        <v>13500</v>
      </c>
    </row>
    <row r="15" spans="2:13" ht="16.5">
      <c r="B15" s="15">
        <v>2033</v>
      </c>
      <c r="D15" s="16" t="s">
        <v>37</v>
      </c>
      <c r="E15" s="15" t="s">
        <v>73</v>
      </c>
    </row>
    <row r="16" spans="2:13" ht="16.5">
      <c r="B16" s="15">
        <v>2034</v>
      </c>
      <c r="D16" s="16" t="s">
        <v>38</v>
      </c>
      <c r="E16" s="15" t="s">
        <v>74</v>
      </c>
    </row>
    <row r="17" spans="2:8" ht="16.5">
      <c r="B17" s="15">
        <v>2035</v>
      </c>
      <c r="D17" s="16" t="s">
        <v>39</v>
      </c>
      <c r="E17" s="15" t="s">
        <v>75</v>
      </c>
    </row>
    <row r="18" spans="2:8" ht="16.5">
      <c r="B18" s="15">
        <v>2036</v>
      </c>
      <c r="D18" s="16" t="s">
        <v>40</v>
      </c>
      <c r="E18" s="15" t="s">
        <v>76</v>
      </c>
    </row>
    <row r="19" spans="2:8" ht="16.5">
      <c r="B19" s="15">
        <v>2037</v>
      </c>
      <c r="D19" s="16" t="s">
        <v>41</v>
      </c>
      <c r="E19" s="15" t="s">
        <v>77</v>
      </c>
    </row>
    <row r="20" spans="2:8" ht="16.5">
      <c r="B20" s="15">
        <v>2038</v>
      </c>
      <c r="D20" s="16" t="s">
        <v>42</v>
      </c>
      <c r="E20" s="15" t="s">
        <v>78</v>
      </c>
    </row>
    <row r="21" spans="2:8" ht="16.5">
      <c r="B21" s="15">
        <v>2039</v>
      </c>
      <c r="D21" s="16" t="s">
        <v>43</v>
      </c>
      <c r="E21" s="15" t="s">
        <v>79</v>
      </c>
    </row>
    <row r="22" spans="2:8" ht="16.5">
      <c r="B22" s="15">
        <v>2040</v>
      </c>
      <c r="D22" s="16" t="s">
        <v>44</v>
      </c>
      <c r="E22" s="15" t="s">
        <v>80</v>
      </c>
    </row>
    <row r="23" spans="2:8" ht="16.5">
      <c r="D23" s="16" t="s">
        <v>45</v>
      </c>
      <c r="E23" s="15" t="s">
        <v>81</v>
      </c>
    </row>
    <row r="24" spans="2:8" ht="16.5">
      <c r="D24" s="16" t="s">
        <v>46</v>
      </c>
      <c r="E24" s="15" t="s">
        <v>82</v>
      </c>
    </row>
    <row r="25" spans="2:8" ht="16.5">
      <c r="D25" s="16" t="s">
        <v>47</v>
      </c>
      <c r="E25" s="15" t="s">
        <v>83</v>
      </c>
      <c r="H25">
        <f>MAX(I5-I7,0)</f>
        <v>0</v>
      </c>
    </row>
    <row r="26" spans="2:8" ht="16.5">
      <c r="D26" s="16" t="s">
        <v>48</v>
      </c>
      <c r="E26" s="15" t="s">
        <v>84</v>
      </c>
    </row>
    <row r="27" spans="2:8" ht="16.5">
      <c r="D27" s="16" t="s">
        <v>49</v>
      </c>
      <c r="E27" s="15" t="s">
        <v>85</v>
      </c>
    </row>
    <row r="28" spans="2:8" ht="16.5">
      <c r="D28" s="16" t="s">
        <v>50</v>
      </c>
      <c r="E28" s="15" t="s">
        <v>86</v>
      </c>
    </row>
    <row r="29" spans="2:8" ht="16.5">
      <c r="D29" s="16" t="s">
        <v>51</v>
      </c>
      <c r="E29" s="15" t="s">
        <v>87</v>
      </c>
    </row>
    <row r="30" spans="2:8" ht="16.5">
      <c r="E30" s="15" t="s">
        <v>88</v>
      </c>
    </row>
    <row r="31" spans="2:8" ht="16.5">
      <c r="E31" s="15" t="s">
        <v>89</v>
      </c>
    </row>
    <row r="32" spans="2:8" ht="16.5">
      <c r="E32" s="15" t="s">
        <v>90</v>
      </c>
    </row>
    <row r="33" spans="5:5" ht="16.5">
      <c r="E33" s="15" t="s">
        <v>91</v>
      </c>
    </row>
    <row r="34" spans="5:5" ht="16.5">
      <c r="E34" s="15" t="s">
        <v>92</v>
      </c>
    </row>
    <row r="35" spans="5:5" ht="16.5">
      <c r="E35" s="15" t="s">
        <v>93</v>
      </c>
    </row>
    <row r="36" spans="5:5" ht="16.5">
      <c r="E36" s="15" t="s">
        <v>94</v>
      </c>
    </row>
    <row r="37" spans="5:5" ht="16.5">
      <c r="E37" s="15" t="s">
        <v>95</v>
      </c>
    </row>
    <row r="38" spans="5:5" ht="16.5">
      <c r="E38" s="15" t="s">
        <v>96</v>
      </c>
    </row>
    <row r="39" spans="5:5" ht="16.5">
      <c r="E39" s="15" t="s">
        <v>97</v>
      </c>
    </row>
    <row r="40" spans="5:5" ht="16.5">
      <c r="E40" s="15" t="s">
        <v>98</v>
      </c>
    </row>
    <row r="41" spans="5:5" ht="16.5">
      <c r="E41" s="15" t="s">
        <v>99</v>
      </c>
    </row>
    <row r="42" spans="5:5" ht="16.5">
      <c r="E42" s="15" t="s">
        <v>100</v>
      </c>
    </row>
    <row r="43" spans="5:5" ht="16.5">
      <c r="E43" s="15" t="s">
        <v>101</v>
      </c>
    </row>
    <row r="44" spans="5:5" ht="16.5">
      <c r="E44" s="15" t="s">
        <v>102</v>
      </c>
    </row>
    <row r="45" spans="5:5" ht="16.5">
      <c r="E45" s="15" t="s">
        <v>103</v>
      </c>
    </row>
    <row r="46" spans="5:5" ht="16.5">
      <c r="E46" s="15" t="s">
        <v>104</v>
      </c>
    </row>
    <row r="47" spans="5:5" ht="16.5">
      <c r="E47" s="15" t="s">
        <v>105</v>
      </c>
    </row>
    <row r="48" spans="5:5" ht="16.5">
      <c r="E48" s="15" t="s">
        <v>106</v>
      </c>
    </row>
    <row r="49" spans="5:5" ht="16.5">
      <c r="E49" s="15" t="s">
        <v>107</v>
      </c>
    </row>
    <row r="50" spans="5:5" ht="16.5">
      <c r="E50" s="15" t="s">
        <v>108</v>
      </c>
    </row>
    <row r="51" spans="5:5" ht="16.5">
      <c r="E51" s="15" t="s">
        <v>109</v>
      </c>
    </row>
    <row r="52" spans="5:5" ht="16.5">
      <c r="E52" s="15" t="s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21</vt:i4>
      </vt:variant>
    </vt:vector>
  </HeadingPairs>
  <TitlesOfParts>
    <vt:vector size="26" baseType="lpstr">
      <vt:lpstr>CONTRIBUINTE</vt:lpstr>
      <vt:lpstr>INFORMES</vt:lpstr>
      <vt:lpstr>RENDIMENTOS</vt:lpstr>
      <vt:lpstr>RESUMO</vt:lpstr>
      <vt:lpstr>APOIO</vt:lpstr>
      <vt:lpstr>AnexoBanco1</vt:lpstr>
      <vt:lpstr>AnexoBanco2</vt:lpstr>
      <vt:lpstr>AnexoBanco3</vt:lpstr>
      <vt:lpstr>AnoCalendario</vt:lpstr>
      <vt:lpstr>Banco1</vt:lpstr>
      <vt:lpstr>Banco2</vt:lpstr>
      <vt:lpstr>Banco3</vt:lpstr>
      <vt:lpstr>cadBairro</vt:lpstr>
      <vt:lpstr>cadCEP</vt:lpstr>
      <vt:lpstr>cadCidade</vt:lpstr>
      <vt:lpstr>cadCPF</vt:lpstr>
      <vt:lpstr>cadEmail</vt:lpstr>
      <vt:lpstr>cadNascimento</vt:lpstr>
      <vt:lpstr>cadNome</vt:lpstr>
      <vt:lpstr>cadNumero</vt:lpstr>
      <vt:lpstr>cadUF</vt:lpstr>
      <vt:lpstr>ExercicioIR</vt:lpstr>
      <vt:lpstr>LISTAANOS</vt:lpstr>
      <vt:lpstr>LISTAESTADOS</vt:lpstr>
      <vt:lpstr>TotalSaldos</vt:lpstr>
      <vt:lpstr>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Bernardini</dc:creator>
  <cp:lastModifiedBy>Marian Bernardini</cp:lastModifiedBy>
  <dcterms:created xsi:type="dcterms:W3CDTF">2026-08-31T20:11:00Z</dcterms:created>
  <dcterms:modified xsi:type="dcterms:W3CDTF">2026-09-05T14:50:20Z</dcterms:modified>
</cp:coreProperties>
</file>